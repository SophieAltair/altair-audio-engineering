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autumn\GitHub\altair-audio-engineering\"/>
    </mc:Choice>
  </mc:AlternateContent>
  <xr:revisionPtr revIDLastSave="0" documentId="13_ncr:1_{09D09590-411D-4120-BAD0-FA8AEE916208}" xr6:coauthVersionLast="47" xr6:coauthVersionMax="47" xr10:uidLastSave="{00000000-0000-0000-0000-000000000000}"/>
  <bookViews>
    <workbookView xWindow="-120" yWindow="-120" windowWidth="30960" windowHeight="17520" xr2:uid="{00000000-000D-0000-FFFF-FFFF00000000}"/>
  </bookViews>
  <sheets>
    <sheet name="index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72" i="1" l="1"/>
  <c r="F172" i="1"/>
  <c r="H171" i="1"/>
  <c r="F171" i="1"/>
  <c r="F168" i="1"/>
  <c r="F166" i="1"/>
  <c r="J160" i="1"/>
  <c r="H160" i="1"/>
  <c r="F160" i="1"/>
  <c r="H152" i="1"/>
  <c r="F152" i="1"/>
  <c r="H151" i="1"/>
  <c r="F151" i="1"/>
  <c r="F148" i="1"/>
  <c r="F146" i="1"/>
  <c r="J140" i="1"/>
  <c r="H140" i="1"/>
  <c r="F140" i="1"/>
  <c r="H132" i="1"/>
  <c r="F132" i="1"/>
  <c r="H131" i="1"/>
  <c r="F131" i="1"/>
  <c r="F128" i="1"/>
  <c r="F126" i="1"/>
  <c r="J120" i="1"/>
  <c r="H120" i="1"/>
  <c r="F120" i="1"/>
  <c r="H112" i="1"/>
  <c r="F112" i="1"/>
  <c r="H111" i="1"/>
  <c r="F111" i="1"/>
  <c r="F108" i="1"/>
  <c r="F106" i="1"/>
  <c r="J100" i="1"/>
  <c r="H100" i="1"/>
  <c r="F100" i="1"/>
  <c r="F86" i="1"/>
  <c r="H92" i="1"/>
  <c r="F92" i="1"/>
  <c r="H91" i="1"/>
  <c r="F91" i="1"/>
  <c r="F88" i="1"/>
  <c r="J80" i="1"/>
  <c r="H80" i="1"/>
  <c r="F80" i="1"/>
  <c r="C74" i="1" a="1"/>
  <c r="C138" i="1" a="1"/>
  <c r="C118" i="1" a="1"/>
  <c r="C106" i="1" a="1"/>
  <c r="C98" i="1" a="1"/>
  <c r="C90" i="1" a="1"/>
  <c r="C82" i="1" a="1"/>
  <c r="C75" i="1" a="1"/>
  <c r="C61" i="1" a="1"/>
  <c r="C57" i="1" a="1"/>
  <c r="C45" i="1" a="1"/>
  <c r="C37" i="1" a="1"/>
  <c r="C29" i="1" a="1"/>
  <c r="C21" i="1" a="1"/>
  <c r="C13" i="1" a="1"/>
  <c r="C5" i="1" a="1"/>
  <c r="C89" i="1" a="1"/>
  <c r="C73" i="1" a="1"/>
  <c r="C64" i="1" a="1"/>
  <c r="C52" i="1" a="1"/>
  <c r="C36" i="1" a="1"/>
  <c r="C28" i="1" a="1"/>
  <c r="C16" i="1" a="1"/>
  <c r="C4" i="1" a="1"/>
  <c r="C80" i="1" a="1"/>
  <c r="C67" i="1" a="1"/>
  <c r="C182" i="1" a="1"/>
  <c r="C178" i="1" a="1"/>
  <c r="C174" i="1" a="1"/>
  <c r="C170" i="1" a="1"/>
  <c r="C166" i="1" a="1"/>
  <c r="C162" i="1" a="1"/>
  <c r="C158" i="1" a="1"/>
  <c r="C154" i="1" a="1"/>
  <c r="C150" i="1" a="1"/>
  <c r="C146" i="1" a="1"/>
  <c r="C142" i="1" a="1"/>
  <c r="C134" i="1" a="1"/>
  <c r="C130" i="1" a="1"/>
  <c r="C126" i="1" a="1"/>
  <c r="C122" i="1" a="1"/>
  <c r="C114" i="1" a="1"/>
  <c r="C110" i="1" a="1"/>
  <c r="C102" i="1" a="1"/>
  <c r="C94" i="1" a="1"/>
  <c r="C86" i="1" a="1"/>
  <c r="C78" i="1" a="1"/>
  <c r="C70" i="1" a="1"/>
  <c r="C65" i="1" a="1"/>
  <c r="C53" i="1" a="1"/>
  <c r="C49" i="1" a="1"/>
  <c r="C41" i="1" a="1"/>
  <c r="C33" i="1" a="1"/>
  <c r="C25" i="1" a="1"/>
  <c r="C17" i="1" a="1"/>
  <c r="C9" i="1" a="1"/>
  <c r="C93" i="1" a="1"/>
  <c r="C77" i="1" a="1"/>
  <c r="C60" i="1" a="1"/>
  <c r="C48" i="1" a="1"/>
  <c r="C40" i="1" a="1"/>
  <c r="C24" i="1" a="1"/>
  <c r="C20" i="1" a="1"/>
  <c r="C8" i="1" a="1"/>
  <c r="C88" i="1" a="1"/>
  <c r="C63" i="1" a="1"/>
  <c r="C72" i="1" a="1"/>
  <c r="C181" i="1" a="1"/>
  <c r="C177" i="1" a="1"/>
  <c r="C173" i="1" a="1"/>
  <c r="C169" i="1" a="1"/>
  <c r="C165" i="1" a="1"/>
  <c r="C161" i="1" a="1"/>
  <c r="C157" i="1" a="1"/>
  <c r="C153" i="1" a="1"/>
  <c r="C149" i="1" a="1"/>
  <c r="C145" i="1" a="1"/>
  <c r="C141" i="1" a="1"/>
  <c r="C137" i="1" a="1"/>
  <c r="C133" i="1" a="1"/>
  <c r="C129" i="1" a="1"/>
  <c r="C125" i="1" a="1"/>
  <c r="C121" i="1" a="1"/>
  <c r="C117" i="1" a="1"/>
  <c r="C113" i="1" a="1"/>
  <c r="C109" i="1" a="1"/>
  <c r="C105" i="1" a="1"/>
  <c r="C101" i="1" a="1"/>
  <c r="C97" i="1" a="1"/>
  <c r="C85" i="1" a="1"/>
  <c r="C81" i="1" a="1"/>
  <c r="C69" i="1" a="1"/>
  <c r="C56" i="1" a="1"/>
  <c r="C44" i="1" a="1"/>
  <c r="C32" i="1" a="1"/>
  <c r="C12" i="1" a="1"/>
  <c r="C84" i="1" a="1"/>
  <c r="C55" i="1" a="1"/>
  <c r="C180" i="1" a="1"/>
  <c r="C176" i="1" a="1"/>
  <c r="C172" i="1" a="1"/>
  <c r="C168" i="1" a="1"/>
  <c r="C164" i="1" a="1"/>
  <c r="C160" i="1" a="1"/>
  <c r="C156" i="1" a="1"/>
  <c r="C152" i="1" a="1"/>
  <c r="C148" i="1" a="1"/>
  <c r="C144" i="1" a="1"/>
  <c r="C140" i="1" a="1"/>
  <c r="C136" i="1" a="1"/>
  <c r="C132" i="1" a="1"/>
  <c r="C128" i="1" a="1"/>
  <c r="C124" i="1" a="1"/>
  <c r="C120" i="1" a="1"/>
  <c r="C116" i="1" a="1"/>
  <c r="C112" i="1" a="1"/>
  <c r="C108" i="1" a="1"/>
  <c r="C104" i="1" a="1"/>
  <c r="C100" i="1" a="1"/>
  <c r="C96" i="1" a="1"/>
  <c r="C92" i="1" a="1"/>
  <c r="C68" i="1" a="1"/>
  <c r="C59" i="1" a="1"/>
  <c r="C51" i="1" a="1"/>
  <c r="C42" i="1" a="1"/>
  <c r="C19" i="1" a="1"/>
  <c r="C10" i="1" a="1"/>
  <c r="C99" i="1" a="1"/>
  <c r="C66" i="1" a="1"/>
  <c r="C30" i="1" a="1"/>
  <c r="C7" i="1" a="1"/>
  <c r="C127" i="1" a="1"/>
  <c r="C95" i="1" a="1"/>
  <c r="C47" i="1" a="1"/>
  <c r="C6" i="1" a="1"/>
  <c r="C123" i="1" a="1"/>
  <c r="C76" i="1" a="1"/>
  <c r="C23" i="1" a="1"/>
  <c r="C34" i="1" a="1"/>
  <c r="C135" i="1" a="1"/>
  <c r="C71" i="1" a="1"/>
  <c r="C179" i="1" a="1"/>
  <c r="C163" i="1" a="1"/>
  <c r="C147" i="1" a="1"/>
  <c r="C131" i="1" a="1"/>
  <c r="C115" i="1" a="1"/>
  <c r="C83" i="1" a="1"/>
  <c r="C39" i="1" a="1"/>
  <c r="C143" i="1" a="1"/>
  <c r="C62" i="1" a="1"/>
  <c r="C139" i="1" a="1"/>
  <c r="C58" i="1" a="1"/>
  <c r="C11" i="1" a="1"/>
  <c r="C103" i="1" a="1"/>
  <c r="C31" i="1" a="1"/>
  <c r="C50" i="1" a="1"/>
  <c r="C27" i="1" a="1"/>
  <c r="C18" i="1" a="1"/>
  <c r="C159" i="1" a="1"/>
  <c r="C111" i="1" a="1"/>
  <c r="C79" i="1" a="1"/>
  <c r="C38" i="1" a="1"/>
  <c r="C155" i="1" a="1"/>
  <c r="C91" i="1" a="1"/>
  <c r="C151" i="1" a="1"/>
  <c r="C54" i="1" a="1"/>
  <c r="C175" i="1" a="1"/>
  <c r="C15" i="1" a="1"/>
  <c r="C14" i="1" a="1"/>
  <c r="C167" i="1" a="1"/>
  <c r="C22" i="1" a="1"/>
  <c r="C35" i="1" a="1"/>
  <c r="C26" i="1" a="1"/>
  <c r="C3" i="1" a="1"/>
  <c r="C171" i="1" a="1"/>
  <c r="C107" i="1" a="1"/>
  <c r="C46" i="1" a="1"/>
  <c r="C43" i="1" a="1"/>
  <c r="C119" i="1" a="1"/>
  <c r="C87" i="1" a="1"/>
  <c r="C2" i="1" a="1"/>
  <c r="C74" i="1" l="1"/>
  <c r="C87" i="1"/>
  <c r="C119" i="1"/>
  <c r="C43" i="1"/>
  <c r="C46" i="1"/>
  <c r="C107" i="1"/>
  <c r="C171" i="1"/>
  <c r="C3" i="1"/>
  <c r="C26" i="1"/>
  <c r="C35" i="1"/>
  <c r="C22" i="1"/>
  <c r="C167" i="1"/>
  <c r="C14" i="1"/>
  <c r="C15" i="1"/>
  <c r="C175" i="1"/>
  <c r="C54" i="1"/>
  <c r="C151" i="1"/>
  <c r="C91" i="1"/>
  <c r="C155" i="1"/>
  <c r="C38" i="1"/>
  <c r="C79" i="1"/>
  <c r="C111" i="1"/>
  <c r="C159" i="1"/>
  <c r="C18" i="1"/>
  <c r="C27" i="1"/>
  <c r="C50" i="1"/>
  <c r="C31" i="1"/>
  <c r="C103" i="1"/>
  <c r="C11" i="1"/>
  <c r="C58" i="1"/>
  <c r="C139" i="1"/>
  <c r="C62" i="1"/>
  <c r="C143" i="1"/>
  <c r="C39" i="1"/>
  <c r="C83" i="1"/>
  <c r="C115" i="1"/>
  <c r="C131" i="1"/>
  <c r="C147" i="1"/>
  <c r="C163" i="1"/>
  <c r="C179" i="1"/>
  <c r="C71" i="1"/>
  <c r="C135" i="1"/>
  <c r="C34" i="1"/>
  <c r="C23" i="1"/>
  <c r="C76" i="1"/>
  <c r="C123" i="1"/>
  <c r="C6" i="1"/>
  <c r="C47" i="1"/>
  <c r="C95" i="1"/>
  <c r="C127" i="1"/>
  <c r="C7" i="1"/>
  <c r="C30" i="1"/>
  <c r="C66" i="1"/>
  <c r="C99" i="1"/>
  <c r="C10" i="1"/>
  <c r="C19" i="1"/>
  <c r="C42" i="1"/>
  <c r="C51" i="1"/>
  <c r="C59" i="1"/>
  <c r="C6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55" i="1"/>
  <c r="C84" i="1"/>
  <c r="C12" i="1"/>
  <c r="C32" i="1"/>
  <c r="C44" i="1"/>
  <c r="C56" i="1"/>
  <c r="C69" i="1"/>
  <c r="C81" i="1"/>
  <c r="C85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72" i="1"/>
  <c r="C63" i="1"/>
  <c r="C88" i="1"/>
  <c r="C8" i="1"/>
  <c r="C20" i="1"/>
  <c r="C24" i="1"/>
  <c r="C40" i="1"/>
  <c r="C48" i="1"/>
  <c r="C60" i="1"/>
  <c r="C77" i="1"/>
  <c r="C93" i="1"/>
  <c r="C9" i="1"/>
  <c r="C17" i="1"/>
  <c r="C25" i="1"/>
  <c r="C33" i="1"/>
  <c r="C41" i="1"/>
  <c r="C49" i="1"/>
  <c r="C53" i="1"/>
  <c r="C65" i="1"/>
  <c r="C70" i="1"/>
  <c r="C78" i="1"/>
  <c r="C86" i="1"/>
  <c r="C94" i="1"/>
  <c r="C102" i="1"/>
  <c r="C110" i="1"/>
  <c r="C114" i="1"/>
  <c r="C122" i="1"/>
  <c r="C126" i="1"/>
  <c r="C130" i="1"/>
  <c r="C134" i="1"/>
  <c r="C142" i="1"/>
  <c r="C146" i="1"/>
  <c r="C150" i="1"/>
  <c r="C154" i="1"/>
  <c r="C158" i="1"/>
  <c r="C162" i="1"/>
  <c r="C166" i="1"/>
  <c r="C170" i="1"/>
  <c r="C174" i="1"/>
  <c r="C178" i="1"/>
  <c r="C182" i="1"/>
  <c r="C67" i="1"/>
  <c r="C80" i="1"/>
  <c r="C4" i="1"/>
  <c r="C16" i="1"/>
  <c r="C28" i="1"/>
  <c r="C36" i="1"/>
  <c r="C52" i="1"/>
  <c r="C64" i="1"/>
  <c r="C73" i="1"/>
  <c r="C89" i="1"/>
  <c r="C5" i="1"/>
  <c r="C13" i="1"/>
  <c r="C21" i="1"/>
  <c r="C29" i="1"/>
  <c r="C37" i="1"/>
  <c r="C45" i="1"/>
  <c r="C57" i="1"/>
  <c r="C61" i="1"/>
  <c r="C75" i="1"/>
  <c r="C82" i="1"/>
  <c r="C90" i="1"/>
  <c r="C98" i="1"/>
  <c r="C106" i="1"/>
  <c r="C118" i="1"/>
  <c r="C138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<sst xmlns="http://schemas.openxmlformats.org/spreadsheetml/2006/main" count="280" uniqueCount="126">
  <si>
    <t>&lt;html xmlns="http://www.w3.org/1999/xhtml" xmlns:fb="http://ogp.me/ns/fb#" xml:lang="en" lang="en"&gt;</t>
  </si>
  <si>
    <t>&lt;/html&gt;</t>
  </si>
  <si>
    <t>&lt;head&gt;</t>
  </si>
  <si>
    <t>&lt;title&gt;Altair Audio Engineering&lt;/title&gt;</t>
  </si>
  <si>
    <t/>
  </si>
  <si>
    <t>&lt;!-- BEGIN FACEBOOK PREVIEW IMAGE METADATA --&gt;</t>
  </si>
  <si>
    <t>&lt;meta property="og:image" content="/img/logo.jpg"/&gt;</t>
  </si>
  <si>
    <t>&lt;meta property="og:image:width" content="120"/&gt;</t>
  </si>
  <si>
    <t>&lt;meta property="og:image:heigh" content="120"/&gt;</t>
  </si>
  <si>
    <t>&lt;!-- END FACEBOOK PREVIEW IMAGE METADATA --&gt;</t>
  </si>
  <si>
    <t>&lt;!-- BEGIN FAVICON METADATA --&gt;</t>
  </si>
  <si>
    <t>&lt;link rel="apple-touch-icon" sizes="57x57" href="/apple-icon-57x57.png"/&gt;</t>
  </si>
  <si>
    <t>&lt;link rel="apple-touch-icon" sizes="60x60" href="/apple-icon-60x60.png"/&gt;</t>
  </si>
  <si>
    <t>&lt;link rel="apple-touch-icon" sizes="72x72" href="/apple-icon-72x72.png"/&gt;</t>
  </si>
  <si>
    <t>&lt;link rel="apple-touch-icon" sizes="76x76" href="/apple-icon-76x76.png"/&gt;</t>
  </si>
  <si>
    <t>&lt;link rel="apple-touch-icon" sizes="114x114" href="/apple-icon-114x114.png"/&gt;</t>
  </si>
  <si>
    <t>&lt;link rel="apple-touch-icon" sizes="120x120" href="/apple-icon-120x120.png"/&gt;</t>
  </si>
  <si>
    <t>&lt;link rel="apple-touch-icon" sizes="144x144" href="/apple-icon-144x144.png"/&gt;</t>
  </si>
  <si>
    <t>&lt;link rel="apple-touch-icon" sizes="152x152" href="/apple-icon-152x152.png"/&gt;</t>
  </si>
  <si>
    <t>&lt;link rel="apple-touch-icon" sizes="180x180" href="/apple-icon-180x180.png"/&gt;</t>
  </si>
  <si>
    <t>&lt;link rel="icon" type="image/png" sizes="32x32" href="/favicon-32x32.png"/&gt;</t>
  </si>
  <si>
    <t>&lt;link rel="icon" type="image/png" sizes="96x96" href="/favicon-96x96.png"/&gt;</t>
  </si>
  <si>
    <t>&lt;link rel="icon" type="image/png" sizes="16x16" href="/favicon-16x16.png"/&gt;</t>
  </si>
  <si>
    <t>&lt;link rel="manifest" href="/manifest.json"/&gt;</t>
  </si>
  <si>
    <t>&lt;meta name="msapplication-TileColor" content="#ffffff"/&gt;</t>
  </si>
  <si>
    <t>&lt;meta name="msapplication-TileImage" content="/ms-icon-144x144.png"/&gt;</t>
  </si>
  <si>
    <t>&lt;meta name="theme-color" content="#ffffff"/&gt;</t>
  </si>
  <si>
    <t>&lt;!-- END FAVICON METADATA --&gt;</t>
  </si>
  <si>
    <t>&lt;meta name="description" content="Altair Audio Engineering" /&gt;</t>
  </si>
  <si>
    <t>&lt;meta name="author" content="Autumn Altair" /&gt;</t>
  </si>
  <si>
    <t>&lt;meta name="keywords" content="industrial,tape,music,zine" /&gt;</t>
  </si>
  <si>
    <t>&lt;!-- CSS --&gt;</t>
  </si>
  <si>
    <t>&lt;!-- Global site tag (gtag.js) - Google Analytics --&gt;</t>
  </si>
  <si>
    <t>&lt;script async src="https://www.googletagmanager.com/gtag/js?id=G-QTF6CMK1HJ"&gt;&lt;/script&gt;</t>
  </si>
  <si>
    <t>&lt;script&gt;</t>
  </si>
  <si>
    <t>&lt;/script&gt;</t>
  </si>
  <si>
    <t>&lt;/head&gt;</t>
  </si>
  <si>
    <t>&lt;body&gt;</t>
  </si>
  <si>
    <t>&lt;ol&gt;</t>
  </si>
  <si>
    <t>&lt;li&gt;</t>
  </si>
  <si>
    <t>&lt;div class="art"&gt;</t>
  </si>
  <si>
    <t>&lt;/div&gt;</t>
  </si>
  <si>
    <t>&lt;table&gt;</t>
  </si>
  <si>
    <t>&lt;tr&gt;</t>
  </si>
  <si>
    <t>MACHINELAND</t>
  </si>
  <si>
    <t>&lt;br /&gt;</t>
  </si>
  <si>
    <t>&lt;/td&gt;</t>
  </si>
  <si>
    <t>&lt;/table&gt;</t>
  </si>
  <si>
    <t>&lt;/p&gt;</t>
  </si>
  <si>
    <t>&lt;/li&gt;</t>
  </si>
  <si>
    <t>&lt;/ol&gt;</t>
  </si>
  <si>
    <t>&lt;/body&gt;</t>
  </si>
  <si>
    <t>&lt;img src="img/</t>
  </si>
  <si>
    <t>AAE0000</t>
  </si>
  <si>
    <t>.jpg" alt="</t>
  </si>
  <si>
    <t>Bed Head Lazarus</t>
  </si>
  <si>
    <t xml:space="preserve"> - </t>
  </si>
  <si>
    <t>" /&gt;</t>
  </si>
  <si>
    <t>&lt;/span&gt;</t>
  </si>
  <si>
    <t>&lt;span class="artist"&gt;</t>
  </si>
  <si>
    <t>Code</t>
  </si>
  <si>
    <t>Indent</t>
  </si>
  <si>
    <t>&lt;a href="</t>
  </si>
  <si>
    <t>https://archive.org/details/AAE0000</t>
  </si>
  <si>
    <t>"&gt;&lt;img src="ico/IA.png" alt= "</t>
  </si>
  <si>
    <t>: Internet Archive" /&gt;&lt;/a&gt;</t>
  </si>
  <si>
    <t>https://altairaudioengineering.bandcamp.com/album/machineland</t>
  </si>
  <si>
    <t>"&gt;&lt;img src="ico/BC.png" alt="</t>
  </si>
  <si>
    <t>: bandcamp" /&gt;&lt;/a&gt;</t>
  </si>
  <si>
    <t>&lt;meta http-equiv="Content-Type" content="text/html; charset=utf-8" /&gt;</t>
  </si>
  <si>
    <t>&lt;link rel="icon" type="image/png" sizes="192x192"  href="/android-icon-192x192.png"/&gt;</t>
  </si>
  <si>
    <t>window.dataLayer = window.dataLayer || [];</t>
  </si>
  <si>
    <t>function gtag(){dataLayer.push(arguments);}</t>
  </si>
  <si>
    <t>gtag('js', new Date());</t>
  </si>
  <si>
    <t>gtag('config', 'G-QTF6CMK1HJ');</t>
  </si>
  <si>
    <t>Attribute</t>
  </si>
  <si>
    <t>Value</t>
  </si>
  <si>
    <t>Album Title</t>
  </si>
  <si>
    <t>Artist</t>
  </si>
  <si>
    <t>Catalog #</t>
  </si>
  <si>
    <t>IA Link</t>
  </si>
  <si>
    <t>BC Link</t>
  </si>
  <si>
    <t>Code Ingredients</t>
  </si>
  <si>
    <t>Voiïid</t>
  </si>
  <si>
    <t>Skoddie</t>
  </si>
  <si>
    <t>AAE0004</t>
  </si>
  <si>
    <t>https://altairaudioengineering.bandcamp.com/album/voi-id</t>
  </si>
  <si>
    <t>Androchist Go Brrrrrrrrrrrrrrrrrrrrrrrr</t>
  </si>
  <si>
    <t>Androchist</t>
  </si>
  <si>
    <t>AAE0003</t>
  </si>
  <si>
    <t>https://archive.org/details/AAE0003</t>
  </si>
  <si>
    <t>https://altairaudioengineering.bandcamp.com/album/androchist-go-brrrrrrrrrrrrrrrrrrrrrrrr</t>
  </si>
  <si>
    <t>Echoes on Stone Walls</t>
  </si>
  <si>
    <t>Autumn Altair</t>
  </si>
  <si>
    <t>AAE0002</t>
  </si>
  <si>
    <t>https://archive.org/details/echoes-on-stone-walls</t>
  </si>
  <si>
    <t>https://altairaudioengineering.bandcamp.com/album/echoes-on-stone-walls</t>
  </si>
  <si>
    <t>Vacant Lunar Transit Zine 00</t>
  </si>
  <si>
    <t>Vacant Lunar Transit</t>
  </si>
  <si>
    <t>https://archive.org/details/AAE0001</t>
  </si>
  <si>
    <t>https://altairaudioengineering.bandcamp.com/album/vacant-lunar-transit-zine-00</t>
  </si>
  <si>
    <t>AAE0001</t>
  </si>
  <si>
    <t>data:text/plain;base64,Tm90IHlldCBhdmFpbGFibGUgb24gSW50ZXJuZXQgQXJjaGl2ZQo=</t>
  </si>
  <si>
    <t>&lt;img class="header" src="img/header.png" alt="Altair Audio Engineering" /&gt;</t>
  </si>
  <si>
    <t>&lt;a href="https://altairaudioengineering.bandcamp.com"&gt;Bandcamp&lt;/a&gt;</t>
  </si>
  <si>
    <t>&lt;link rel="preconnect" href="https://fonts.googleapis.com"&gt;</t>
  </si>
  <si>
    <t>&lt;link rel="preconnect" href="https://fonts.gstatic.com" crossorigin&gt;</t>
  </si>
  <si>
    <t>&lt;link href="https://fonts.googleapis.com/css2?family=Arimo&amp;display=swap" rel="stylesheet"&gt;</t>
  </si>
  <si>
    <t>&lt;!-- Fonts --&gt;</t>
  </si>
  <si>
    <t>&lt;a href="https://www.instagram.com/altair.audio.engineering/"&gt;Instagram&lt;/a&gt;</t>
  </si>
  <si>
    <t>&lt;div id="Whole"&gt;</t>
  </si>
  <si>
    <t>&lt;div id="bar"&gt;</t>
  </si>
  <si>
    <t>&lt;link rel="stylesheet" type="text/css" href="css/default.css" media="screen" /&gt;</t>
  </si>
  <si>
    <t>&lt;/tr&gt;</t>
  </si>
  <si>
    <t>&lt;ol id="left-middle"&gt;</t>
  </si>
  <si>
    <t>&lt;div id="maincontent"&gt;</t>
  </si>
  <si>
    <t>&lt;div id="sidebar"&gt;</t>
  </si>
  <si>
    <t>&lt;img id="logo" src="img/logo.jpg" alt="AAE Logo" /&gt;</t>
  </si>
  <si>
    <t>&lt;span id="label-name"&gt;Altair Audio Engineering&lt;/span&gt;</t>
  </si>
  <si>
    <t>&lt;span id="location"&gt;Tustin, California&lt;/span&gt;</t>
  </si>
  <si>
    <t>&lt;p id="label-name-location"&gt;</t>
  </si>
  <si>
    <t>&lt;span class="title"&gt;</t>
  </si>
  <si>
    <t>&lt;p&gt;</t>
  </si>
  <si>
    <t>&lt;td class="IA-BC"&gt;</t>
  </si>
  <si>
    <t>&lt;td class="title-artist"&gt;</t>
  </si>
  <si>
    <t>&lt;span id="bio"&gt;Precision industrial music, zines &amp; culture.&lt;/span&gt;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</si>
</sst>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18" fillId="33" borderId="0" xfId="0" applyNumberFormat="1" applyFont="1" applyFill="1"/>
    <xf numFmtId="0" fontId="0" fillId="34" borderId="0" xfId="0" applyFill="1" applyBorder="1"/>
    <xf numFmtId="0" fontId="0" fillId="0" borderId="12" xfId="0" applyBorder="1"/>
    <xf numFmtId="0" fontId="16" fillId="0" borderId="12" xfId="0" applyFont="1" applyBorder="1"/>
    <xf numFmtId="0" fontId="13" fillId="35" borderId="0" xfId="0" applyFont="1" applyFill="1"/>
    <xf numFmtId="0" fontId="18" fillId="0" borderId="12" xfId="0" applyFont="1" applyBorder="1"/>
    <xf numFmtId="0" fontId="13" fillId="35" borderId="0" xfId="0" applyFont="1" applyFill="1"/>
    <xf numFmtId="0" fontId="0" fillId="0" borderId="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2"/>
  <sheetViews>
    <sheetView tabSelected="1" workbookViewId="0">
      <pane ySplit="1" topLeftCell="A144" activePane="bottomLeft" state="frozen"/>
      <selection pane="bottomLeft" activeCell="C2" sqref="C2:C182"/>
    </sheetView>
  </sheetViews>
  <sheetFormatPr defaultRowHeight="15" x14ac:dyDescent="0.25"/>
  <cols>
    <col min="1" max="1" width="11.28515625" bestFit="1" customWidth="1"/>
    <col min="2" max="2" width="26.28515625" customWidth="1"/>
    <col min="3" max="3" width="8.42578125" bestFit="1" customWidth="1"/>
    <col min="4" max="4" width="6.85546875" bestFit="1" customWidth="1"/>
    <col min="5" max="5" width="99" bestFit="1" customWidth="1"/>
    <col min="6" max="6" width="62.5703125" bestFit="1" customWidth="1"/>
    <col min="7" max="7" width="27.42578125" bestFit="1" customWidth="1"/>
    <col min="8" max="8" width="16.42578125" bestFit="1" customWidth="1"/>
    <col min="9" max="9" width="23.85546875" bestFit="1" customWidth="1"/>
    <col min="10" max="10" width="14.42578125" bestFit="1" customWidth="1"/>
    <col min="11" max="11" width="4.140625" bestFit="1" customWidth="1"/>
  </cols>
  <sheetData>
    <row r="1" spans="1:11" x14ac:dyDescent="0.25">
      <c r="A1" s="8" t="s">
        <v>75</v>
      </c>
      <c r="B1" s="8" t="s">
        <v>76</v>
      </c>
      <c r="C1" s="8" t="s">
        <v>60</v>
      </c>
      <c r="D1" s="8" t="s">
        <v>61</v>
      </c>
      <c r="E1" s="10" t="s">
        <v>82</v>
      </c>
      <c r="F1" s="10"/>
      <c r="G1" s="10"/>
      <c r="H1" s="10"/>
      <c r="I1" s="10"/>
      <c r="J1" s="10"/>
      <c r="K1" s="10"/>
    </row>
    <row r="2" spans="1:11" x14ac:dyDescent="0.25">
      <c r="C2" s="4" t="str" cm="1">
        <f t="array" ref="C2">BuildLine(D2,E2:K2)</f>
        <v>&lt;html xmlns="http://www.w3.org/1999/xhtml" xmlns:fb="http://ogp.me/ns/fb#" xml:lang="en" lang="en"&gt;</v>
      </c>
      <c r="D2">
        <v>0</v>
      </c>
      <c r="E2" t="s">
        <v>0</v>
      </c>
    </row>
    <row r="3" spans="1:11" x14ac:dyDescent="0.25">
      <c r="C3" s="4" t="str" cm="1">
        <f t="array" ref="C3">BuildLine(D3,E3:K3)</f>
        <v xml:space="preserve">    &lt;head&gt;</v>
      </c>
      <c r="D3">
        <v>1</v>
      </c>
      <c r="E3" t="s">
        <v>2</v>
      </c>
    </row>
    <row r="4" spans="1:11" x14ac:dyDescent="0.25">
      <c r="C4" s="4" t="str" cm="1">
        <f t="array" ref="C4">BuildLine(D4,E4:K4)</f>
        <v xml:space="preserve">        &lt;meta http-equiv="Content-Type" content="text/html; charset=utf-8" /&gt;</v>
      </c>
      <c r="D4">
        <v>2</v>
      </c>
      <c r="E4" t="s">
        <v>69</v>
      </c>
    </row>
    <row r="5" spans="1:11" x14ac:dyDescent="0.25">
      <c r="C5" s="4" t="str" cm="1">
        <f t="array" ref="C5">BuildLine(D5,E5:K5)</f>
        <v xml:space="preserve">        &lt;title&gt;Altair Audio Engineering&lt;/title&gt;</v>
      </c>
      <c r="D5">
        <v>2</v>
      </c>
      <c r="E5" t="s">
        <v>3</v>
      </c>
    </row>
    <row r="6" spans="1:11" x14ac:dyDescent="0.25">
      <c r="C6" s="4" t="str" cm="1">
        <f t="array" ref="C6">BuildLine(D6,E6:K6)</f>
        <v/>
      </c>
      <c r="D6">
        <v>0</v>
      </c>
      <c r="E6" t="s">
        <v>4</v>
      </c>
    </row>
    <row r="7" spans="1:11" x14ac:dyDescent="0.25">
      <c r="C7" s="4" t="str" cm="1">
        <f t="array" ref="C7">BuildLine(D7,E7:K7)</f>
        <v xml:space="preserve">        &lt;!-- BEGIN FACEBOOK PREVIEW IMAGE METADATA --&gt;</v>
      </c>
      <c r="D7">
        <v>2</v>
      </c>
      <c r="E7" t="s">
        <v>5</v>
      </c>
    </row>
    <row r="8" spans="1:11" x14ac:dyDescent="0.25">
      <c r="C8" s="4" t="str" cm="1">
        <f t="array" ref="C8">BuildLine(D8,E8:K8)</f>
        <v xml:space="preserve">        &lt;meta property="og:image" content="/img/logo.jpg"/&gt;</v>
      </c>
      <c r="D8">
        <v>2</v>
      </c>
      <c r="E8" t="s">
        <v>6</v>
      </c>
    </row>
    <row r="9" spans="1:11" x14ac:dyDescent="0.25">
      <c r="C9" s="4" t="str" cm="1">
        <f t="array" ref="C9">BuildLine(D9,E9:K9)</f>
        <v xml:space="preserve">        &lt;meta property="og:image:width" content="120"/&gt;</v>
      </c>
      <c r="D9">
        <v>2</v>
      </c>
      <c r="E9" t="s">
        <v>7</v>
      </c>
    </row>
    <row r="10" spans="1:11" x14ac:dyDescent="0.25">
      <c r="C10" s="4" t="str" cm="1">
        <f t="array" ref="C10">BuildLine(D10,E10:K10)</f>
        <v xml:space="preserve">        &lt;meta property="og:image:heigh" content="120"/&gt;</v>
      </c>
      <c r="D10">
        <v>2</v>
      </c>
      <c r="E10" t="s">
        <v>8</v>
      </c>
    </row>
    <row r="11" spans="1:11" x14ac:dyDescent="0.25">
      <c r="C11" s="4" t="str" cm="1">
        <f t="array" ref="C11">BuildLine(D11,E11:K11)</f>
        <v xml:space="preserve">        &lt;!-- END FACEBOOK PREVIEW IMAGE METADATA --&gt;</v>
      </c>
      <c r="D11">
        <v>2</v>
      </c>
      <c r="E11" t="s">
        <v>9</v>
      </c>
    </row>
    <row r="12" spans="1:11" x14ac:dyDescent="0.25">
      <c r="C12" s="4" t="str" cm="1">
        <f t="array" ref="C12">BuildLine(D12,E12:K12)</f>
        <v/>
      </c>
      <c r="D12">
        <v>0</v>
      </c>
      <c r="E12" t="s">
        <v>4</v>
      </c>
    </row>
    <row r="13" spans="1:11" x14ac:dyDescent="0.25">
      <c r="C13" s="4" t="str" cm="1">
        <f t="array" ref="C13">BuildLine(D13,E13:K13)</f>
        <v xml:space="preserve">        &lt;!-- BEGIN FAVICON METADATA --&gt;</v>
      </c>
      <c r="D13">
        <v>2</v>
      </c>
      <c r="E13" t="s">
        <v>10</v>
      </c>
    </row>
    <row r="14" spans="1:11" x14ac:dyDescent="0.25">
      <c r="C14" s="4" t="str" cm="1">
        <f t="array" ref="C14">BuildLine(D14,E14:K14)</f>
        <v xml:space="preserve">        &lt;link rel="apple-touch-icon" sizes="57x57" href="/apple-icon-57x57.png"/&gt;</v>
      </c>
      <c r="D14">
        <v>2</v>
      </c>
      <c r="E14" t="s">
        <v>11</v>
      </c>
    </row>
    <row r="15" spans="1:11" x14ac:dyDescent="0.25">
      <c r="C15" s="4" t="str" cm="1">
        <f t="array" ref="C15">BuildLine(D15,E15:K15)</f>
        <v xml:space="preserve">        &lt;link rel="apple-touch-icon" sizes="60x60" href="/apple-icon-60x60.png"/&gt;</v>
      </c>
      <c r="D15">
        <v>2</v>
      </c>
      <c r="E15" t="s">
        <v>12</v>
      </c>
    </row>
    <row r="16" spans="1:11" x14ac:dyDescent="0.25">
      <c r="C16" s="4" t="str" cm="1">
        <f t="array" ref="C16">BuildLine(D16,E16:K16)</f>
        <v xml:space="preserve">        &lt;link rel="apple-touch-icon" sizes="72x72" href="/apple-icon-72x72.png"/&gt;</v>
      </c>
      <c r="D16">
        <v>2</v>
      </c>
      <c r="E16" t="s">
        <v>13</v>
      </c>
    </row>
    <row r="17" spans="3:5" x14ac:dyDescent="0.25">
      <c r="C17" s="4" t="str" cm="1">
        <f t="array" ref="C17">BuildLine(D17,E17:K17)</f>
        <v xml:space="preserve">        &lt;link rel="apple-touch-icon" sizes="76x76" href="/apple-icon-76x76.png"/&gt;</v>
      </c>
      <c r="D17">
        <v>2</v>
      </c>
      <c r="E17" t="s">
        <v>14</v>
      </c>
    </row>
    <row r="18" spans="3:5" x14ac:dyDescent="0.25">
      <c r="C18" s="4" t="str" cm="1">
        <f t="array" ref="C18">BuildLine(D18,E18:K18)</f>
        <v xml:space="preserve">        &lt;link rel="apple-touch-icon" sizes="114x114" href="/apple-icon-114x114.png"/&gt;</v>
      </c>
      <c r="D18">
        <v>2</v>
      </c>
      <c r="E18" t="s">
        <v>15</v>
      </c>
    </row>
    <row r="19" spans="3:5" x14ac:dyDescent="0.25">
      <c r="C19" s="4" t="str" cm="1">
        <f t="array" ref="C19">BuildLine(D19,E19:K19)</f>
        <v xml:space="preserve">        &lt;link rel="apple-touch-icon" sizes="120x120" href="/apple-icon-120x120.png"/&gt;</v>
      </c>
      <c r="D19">
        <v>2</v>
      </c>
      <c r="E19" t="s">
        <v>16</v>
      </c>
    </row>
    <row r="20" spans="3:5" x14ac:dyDescent="0.25">
      <c r="C20" s="4" t="str" cm="1">
        <f t="array" ref="C20">BuildLine(D20,E20:K20)</f>
        <v xml:space="preserve">        &lt;link rel="apple-touch-icon" sizes="144x144" href="/apple-icon-144x144.png"/&gt;</v>
      </c>
      <c r="D20">
        <v>2</v>
      </c>
      <c r="E20" t="s">
        <v>17</v>
      </c>
    </row>
    <row r="21" spans="3:5" x14ac:dyDescent="0.25">
      <c r="C21" s="4" t="str" cm="1">
        <f t="array" ref="C21">BuildLine(D21,E21:K21)</f>
        <v xml:space="preserve">        &lt;link rel="apple-touch-icon" sizes="152x152" href="/apple-icon-152x152.png"/&gt;</v>
      </c>
      <c r="D21">
        <v>2</v>
      </c>
      <c r="E21" t="s">
        <v>18</v>
      </c>
    </row>
    <row r="22" spans="3:5" x14ac:dyDescent="0.25">
      <c r="C22" s="4" t="str" cm="1">
        <f t="array" ref="C22">BuildLine(D22,E22:K22)</f>
        <v xml:space="preserve">        &lt;link rel="apple-touch-icon" sizes="180x180" href="/apple-icon-180x180.png"/&gt;</v>
      </c>
      <c r="D22">
        <v>2</v>
      </c>
      <c r="E22" t="s">
        <v>19</v>
      </c>
    </row>
    <row r="23" spans="3:5" x14ac:dyDescent="0.25">
      <c r="C23" s="4" t="str" cm="1">
        <f t="array" ref="C23">BuildLine(D23,E23:K23)</f>
        <v xml:space="preserve">        &lt;link rel="icon" type="image/png" sizes="192x192"  href="/android-icon-192x192.png"/&gt;</v>
      </c>
      <c r="D23">
        <v>2</v>
      </c>
      <c r="E23" t="s">
        <v>70</v>
      </c>
    </row>
    <row r="24" spans="3:5" x14ac:dyDescent="0.25">
      <c r="C24" s="4" t="str" cm="1">
        <f t="array" ref="C24">BuildLine(D24,E24:K24)</f>
        <v xml:space="preserve">        &lt;link rel="icon" type="image/png" sizes="32x32" href="/favicon-32x32.png"/&gt;</v>
      </c>
      <c r="D24">
        <v>2</v>
      </c>
      <c r="E24" t="s">
        <v>20</v>
      </c>
    </row>
    <row r="25" spans="3:5" x14ac:dyDescent="0.25">
      <c r="C25" s="4" t="str" cm="1">
        <f t="array" ref="C25">BuildLine(D25,E25:K25)</f>
        <v xml:space="preserve">        &lt;link rel="icon" type="image/png" sizes="96x96" href="/favicon-96x96.png"/&gt;</v>
      </c>
      <c r="D25">
        <v>2</v>
      </c>
      <c r="E25" t="s">
        <v>21</v>
      </c>
    </row>
    <row r="26" spans="3:5" x14ac:dyDescent="0.25">
      <c r="C26" s="4" t="str" cm="1">
        <f t="array" ref="C26">BuildLine(D26,E26:K26)</f>
        <v xml:space="preserve">        &lt;link rel="icon" type="image/png" sizes="16x16" href="/favicon-16x16.png"/&gt;</v>
      </c>
      <c r="D26">
        <v>2</v>
      </c>
      <c r="E26" t="s">
        <v>22</v>
      </c>
    </row>
    <row r="27" spans="3:5" x14ac:dyDescent="0.25">
      <c r="C27" s="4" t="str" cm="1">
        <f t="array" ref="C27">BuildLine(D27,E27:K27)</f>
        <v xml:space="preserve">        &lt;link rel="manifest" href="/manifest.json"/&gt;</v>
      </c>
      <c r="D27">
        <v>2</v>
      </c>
      <c r="E27" t="s">
        <v>23</v>
      </c>
    </row>
    <row r="28" spans="3:5" x14ac:dyDescent="0.25">
      <c r="C28" s="4" t="str" cm="1">
        <f t="array" ref="C28">BuildLine(D28,E28:K28)</f>
        <v xml:space="preserve">        &lt;meta name="msapplication-TileColor" content="#ffffff"/&gt;</v>
      </c>
      <c r="D28">
        <v>2</v>
      </c>
      <c r="E28" t="s">
        <v>24</v>
      </c>
    </row>
    <row r="29" spans="3:5" x14ac:dyDescent="0.25">
      <c r="C29" s="4" t="str" cm="1">
        <f t="array" ref="C29">BuildLine(D29,E29:K29)</f>
        <v xml:space="preserve">        &lt;meta name="msapplication-TileImage" content="/ms-icon-144x144.png"/&gt;</v>
      </c>
      <c r="D29">
        <v>2</v>
      </c>
      <c r="E29" t="s">
        <v>25</v>
      </c>
    </row>
    <row r="30" spans="3:5" x14ac:dyDescent="0.25">
      <c r="C30" s="4" t="str" cm="1">
        <f t="array" ref="C30">BuildLine(D30,E30:K30)</f>
        <v xml:space="preserve">        &lt;meta name="theme-color" content="#ffffff"/&gt;</v>
      </c>
      <c r="D30">
        <v>2</v>
      </c>
      <c r="E30" t="s">
        <v>26</v>
      </c>
    </row>
    <row r="31" spans="3:5" x14ac:dyDescent="0.25">
      <c r="C31" s="4" t="str" cm="1">
        <f t="array" ref="C31">BuildLine(D31,E31:K31)</f>
        <v xml:space="preserve">        &lt;!-- END FAVICON METADATA --&gt;</v>
      </c>
      <c r="D31">
        <v>2</v>
      </c>
      <c r="E31" t="s">
        <v>27</v>
      </c>
    </row>
    <row r="32" spans="3:5" x14ac:dyDescent="0.25">
      <c r="C32" s="4" t="str" cm="1">
        <f t="array" ref="C32">BuildLine(D32,E32:K32)</f>
        <v/>
      </c>
      <c r="D32">
        <v>0</v>
      </c>
      <c r="E32" t="s">
        <v>4</v>
      </c>
    </row>
    <row r="33" spans="3:5" x14ac:dyDescent="0.25">
      <c r="C33" s="4" t="str" cm="1">
        <f t="array" ref="C33">BuildLine(D33,E33:K33)</f>
        <v xml:space="preserve">        &lt;meta name="description" content="Altair Audio Engineering" /&gt;</v>
      </c>
      <c r="D33">
        <v>2</v>
      </c>
      <c r="E33" t="s">
        <v>28</v>
      </c>
    </row>
    <row r="34" spans="3:5" x14ac:dyDescent="0.25">
      <c r="C34" s="4" t="str" cm="1">
        <f t="array" ref="C34">BuildLine(D34,E34:K34)</f>
        <v xml:space="preserve">        &lt;meta name="author" content="Autumn Altair" /&gt;</v>
      </c>
      <c r="D34">
        <v>2</v>
      </c>
      <c r="E34" t="s">
        <v>29</v>
      </c>
    </row>
    <row r="35" spans="3:5" x14ac:dyDescent="0.25">
      <c r="C35" s="4" t="str" cm="1">
        <f t="array" ref="C35">BuildLine(D35,E35:K35)</f>
        <v xml:space="preserve">        &lt;meta name="keywords" content="industrial,tape,music,zine" /&gt;</v>
      </c>
      <c r="D35">
        <v>2</v>
      </c>
      <c r="E35" t="s">
        <v>30</v>
      </c>
    </row>
    <row r="36" spans="3:5" x14ac:dyDescent="0.25">
      <c r="C36" s="4" t="str" cm="1">
        <f t="array" ref="C36">BuildLine(D36,E36:K36)</f>
        <v/>
      </c>
      <c r="D36">
        <v>0</v>
      </c>
      <c r="E36" t="s">
        <v>4</v>
      </c>
    </row>
    <row r="37" spans="3:5" x14ac:dyDescent="0.25">
      <c r="C37" s="4" t="str" cm="1">
        <f t="array" ref="C37">BuildLine(D37,E37:K37)</f>
        <v xml:space="preserve">        &lt;!-- CSS --&gt;</v>
      </c>
      <c r="D37">
        <v>2</v>
      </c>
      <c r="E37" t="s">
        <v>31</v>
      </c>
    </row>
    <row r="38" spans="3:5" x14ac:dyDescent="0.25">
      <c r="C38" s="4" t="str" cm="1">
        <f t="array" ref="C38">BuildLine(D38,E38:K38)</f>
        <v xml:space="preserve">        &lt;link rel="stylesheet" type="text/css" href="css/default.css" media="screen" /&gt;</v>
      </c>
      <c r="D38">
        <v>2</v>
      </c>
      <c r="E38" t="s">
        <v>112</v>
      </c>
    </row>
    <row r="39" spans="3:5" x14ac:dyDescent="0.25">
      <c r="C39" s="4" t="str" cm="1">
        <f t="array" ref="C39">BuildLine(D39,E39:K39)</f>
        <v/>
      </c>
      <c r="D39">
        <v>0</v>
      </c>
      <c r="E39" t="s">
        <v>4</v>
      </c>
    </row>
    <row r="40" spans="3:5" x14ac:dyDescent="0.25">
      <c r="C40" s="4" t="str" cm="1">
        <f t="array" ref="C40">BuildLine(D40,E40:K40)</f>
        <v xml:space="preserve">        &lt;!-- Fonts --&gt;</v>
      </c>
      <c r="D40">
        <v>2</v>
      </c>
      <c r="E40" t="s">
        <v>108</v>
      </c>
    </row>
    <row r="41" spans="3:5" x14ac:dyDescent="0.25">
      <c r="C41" s="4" t="str" cm="1">
        <f t="array" ref="C41">BuildLine(D41,E41:K41)</f>
        <v xml:space="preserve">        &lt;link rel="preconnect" href="https://fonts.googleapis.com"&gt;</v>
      </c>
      <c r="D41">
        <v>2</v>
      </c>
      <c r="E41" t="s">
        <v>105</v>
      </c>
    </row>
    <row r="42" spans="3:5" x14ac:dyDescent="0.25">
      <c r="C42" s="4" t="str" cm="1">
        <f t="array" ref="C42">BuildLine(D42,E42:K42)</f>
        <v xml:space="preserve">        &lt;link rel="preconnect" href="https://fonts.gstatic.com" crossorigin&gt;</v>
      </c>
      <c r="D42">
        <v>2</v>
      </c>
      <c r="E42" t="s">
        <v>106</v>
      </c>
    </row>
    <row r="43" spans="3:5" x14ac:dyDescent="0.25">
      <c r="C43" s="4" t="str" cm="1">
        <f t="array" ref="C43">BuildLine(D43,E43:K43)</f>
        <v xml:space="preserve">        &lt;link href="https://fonts.googleapis.com/css2?family=Arimo&amp;display=swap" rel="stylesheet"&gt;</v>
      </c>
      <c r="D43">
        <v>2</v>
      </c>
      <c r="E43" t="s">
        <v>107</v>
      </c>
    </row>
    <row r="44" spans="3:5" x14ac:dyDescent="0.25">
      <c r="C44" s="4" t="str" cm="1">
        <f t="array" ref="C44">BuildLine(D44,E44:K44)</f>
        <v/>
      </c>
      <c r="D44">
        <v>0</v>
      </c>
    </row>
    <row r="45" spans="3:5" x14ac:dyDescent="0.25">
      <c r="C45" s="4" t="str" cm="1">
        <f t="array" ref="C45">BuildLine(D45,E45:K45)</f>
        <v xml:space="preserve">        &lt;!-- Global site tag (gtag.js) - Google Analytics --&gt;</v>
      </c>
      <c r="D45">
        <v>2</v>
      </c>
      <c r="E45" t="s">
        <v>32</v>
      </c>
    </row>
    <row r="46" spans="3:5" x14ac:dyDescent="0.25">
      <c r="C46" s="4" t="str" cm="1">
        <f t="array" ref="C46">BuildLine(D46,E46:K46)</f>
        <v xml:space="preserve">        &lt;script async src="https://www.googletagmanager.com/gtag/js?id=G-QTF6CMK1HJ"&gt;&lt;/script&gt;</v>
      </c>
      <c r="D46">
        <v>2</v>
      </c>
      <c r="E46" t="s">
        <v>33</v>
      </c>
    </row>
    <row r="47" spans="3:5" x14ac:dyDescent="0.25">
      <c r="C47" s="4" t="str" cm="1">
        <f t="array" ref="C47">BuildLine(D47,E47:K47)</f>
        <v xml:space="preserve">            &lt;script&gt;</v>
      </c>
      <c r="D47">
        <v>3</v>
      </c>
      <c r="E47" t="s">
        <v>34</v>
      </c>
    </row>
    <row r="48" spans="3:5" x14ac:dyDescent="0.25">
      <c r="C48" s="4" t="str" cm="1">
        <f t="array" ref="C48">BuildLine(D48,E48:K48)</f>
        <v xml:space="preserve">                window.dataLayer = window.dataLayer || [];</v>
      </c>
      <c r="D48">
        <v>4</v>
      </c>
      <c r="E48" t="s">
        <v>71</v>
      </c>
    </row>
    <row r="49" spans="3:5" x14ac:dyDescent="0.25">
      <c r="C49" s="4" t="str" cm="1">
        <f t="array" ref="C49">BuildLine(D49,E49:K49)</f>
        <v xml:space="preserve">                function gtag(){dataLayer.push(arguments);}</v>
      </c>
      <c r="D49">
        <v>4</v>
      </c>
      <c r="E49" t="s">
        <v>72</v>
      </c>
    </row>
    <row r="50" spans="3:5" x14ac:dyDescent="0.25">
      <c r="C50" s="4" t="str" cm="1">
        <f t="array" ref="C50">BuildLine(D50,E50:K50)</f>
        <v xml:space="preserve">                gtag('js', new Date());</v>
      </c>
      <c r="D50">
        <v>4</v>
      </c>
      <c r="E50" t="s">
        <v>73</v>
      </c>
    </row>
    <row r="51" spans="3:5" x14ac:dyDescent="0.25">
      <c r="C51" s="4" t="str" cm="1">
        <f t="array" ref="C51">BuildLine(D51,E51:K51)</f>
        <v/>
      </c>
      <c r="D51">
        <v>0</v>
      </c>
      <c r="E51" t="s">
        <v>4</v>
      </c>
    </row>
    <row r="52" spans="3:5" x14ac:dyDescent="0.25">
      <c r="C52" s="4" t="str" cm="1">
        <f t="array" ref="C52">BuildLine(D52,E52:K52)</f>
        <v xml:space="preserve">                gtag('config', 'G-QTF6CMK1HJ');</v>
      </c>
      <c r="D52">
        <v>4</v>
      </c>
      <c r="E52" t="s">
        <v>74</v>
      </c>
    </row>
    <row r="53" spans="3:5" x14ac:dyDescent="0.25">
      <c r="C53" s="4" t="str" cm="1">
        <f t="array" ref="C53">BuildLine(D53,E53:K53)</f>
        <v xml:space="preserve">            &lt;/script&gt;</v>
      </c>
      <c r="D53">
        <v>3</v>
      </c>
      <c r="E53" t="s">
        <v>35</v>
      </c>
    </row>
    <row r="54" spans="3:5" x14ac:dyDescent="0.25">
      <c r="C54" s="4" t="str" cm="1">
        <f t="array" ref="C54">BuildLine(D54,E54:K54)</f>
        <v xml:space="preserve">    &lt;/head&gt;</v>
      </c>
      <c r="D54">
        <v>1</v>
      </c>
      <c r="E54" t="s">
        <v>36</v>
      </c>
    </row>
    <row r="55" spans="3:5" x14ac:dyDescent="0.25">
      <c r="C55" s="4" t="str" cm="1">
        <f t="array" ref="C55">BuildLine(D55,E55:K55)</f>
        <v xml:space="preserve">    &lt;body&gt;</v>
      </c>
      <c r="D55">
        <v>1</v>
      </c>
      <c r="E55" t="s">
        <v>37</v>
      </c>
    </row>
    <row r="56" spans="3:5" x14ac:dyDescent="0.25">
      <c r="C56" s="4" t="str" cm="1">
        <f t="array" ref="C56">BuildLine(D56,E56:K56)</f>
        <v xml:space="preserve">        &lt;div id="Whole"&gt;</v>
      </c>
      <c r="D56">
        <v>2</v>
      </c>
      <c r="E56" t="s">
        <v>110</v>
      </c>
    </row>
    <row r="57" spans="3:5" x14ac:dyDescent="0.25">
      <c r="C57" s="4" t="str" cm="1">
        <f t="array" ref="C57">BuildLine(D57,E57:K57)</f>
        <v xml:space="preserve">            &lt;img class="header" src="img/header.png" alt="Altair Audio Engineering" /&gt;</v>
      </c>
      <c r="D57">
        <v>3</v>
      </c>
      <c r="E57" t="s">
        <v>103</v>
      </c>
    </row>
    <row r="58" spans="3:5" x14ac:dyDescent="0.25">
      <c r="C58" s="4" t="str" cm="1">
        <f t="array" ref="C58">BuildLine(D58,E58:K58)</f>
        <v xml:space="preserve">            &lt;div id="bar"&gt;</v>
      </c>
      <c r="D58">
        <v>3</v>
      </c>
      <c r="E58" t="s">
        <v>111</v>
      </c>
    </row>
    <row r="59" spans="3:5" x14ac:dyDescent="0.25">
      <c r="C59" s="4" t="str" cm="1">
        <f t="array" ref="C59">BuildLine(D59,E59:K59)</f>
        <v xml:space="preserve">                &lt;ol&gt;</v>
      </c>
      <c r="D59">
        <v>4</v>
      </c>
      <c r="E59" t="s">
        <v>38</v>
      </c>
    </row>
    <row r="60" spans="3:5" x14ac:dyDescent="0.25">
      <c r="C60" s="4" t="str" cm="1">
        <f t="array" ref="C60">BuildLine(D60,E60:K60)</f>
        <v xml:space="preserve">                    &lt;li&gt;</v>
      </c>
      <c r="D60">
        <v>5</v>
      </c>
      <c r="E60" t="s">
        <v>39</v>
      </c>
    </row>
    <row r="61" spans="3:5" x14ac:dyDescent="0.25">
      <c r="C61" s="4" t="str" cm="1">
        <f t="array" ref="C61">BuildLine(D61,E61:K61)</f>
        <v xml:space="preserve">                        &lt;a href="https://altairaudioengineering.bandcamp.com"&gt;Bandcamp&lt;/a&gt;</v>
      </c>
      <c r="D61">
        <v>6</v>
      </c>
      <c r="E61" t="s">
        <v>104</v>
      </c>
    </row>
    <row r="62" spans="3:5" x14ac:dyDescent="0.25">
      <c r="C62" s="4" t="str" cm="1">
        <f t="array" ref="C62">BuildLine(D62,E62:K62)</f>
        <v xml:space="preserve">                    &lt;/li&gt;</v>
      </c>
      <c r="D62">
        <v>5</v>
      </c>
      <c r="E62" t="s">
        <v>49</v>
      </c>
    </row>
    <row r="63" spans="3:5" x14ac:dyDescent="0.25">
      <c r="C63" s="4" t="str" cm="1">
        <f t="array" ref="C63">BuildLine(D63,E63:K63)</f>
        <v xml:space="preserve">                    &lt;li&gt;</v>
      </c>
      <c r="D63">
        <v>5</v>
      </c>
      <c r="E63" t="s">
        <v>39</v>
      </c>
    </row>
    <row r="64" spans="3:5" x14ac:dyDescent="0.25">
      <c r="C64" s="4" t="str" cm="1">
        <f t="array" ref="C64">BuildLine(D64,E64:K64)</f>
        <v xml:space="preserve">                        &lt;a href="https://www.instagram.com/altair.audio.engineering/"&gt;Instagram&lt;/a&gt;</v>
      </c>
      <c r="D64">
        <v>6</v>
      </c>
      <c r="E64" t="s">
        <v>109</v>
      </c>
    </row>
    <row r="65" spans="1:11" x14ac:dyDescent="0.25">
      <c r="C65" s="4" t="str" cm="1">
        <f t="array" ref="C65">BuildLine(D65,E65:K65)</f>
        <v xml:space="preserve">                    &lt;/li&gt;</v>
      </c>
      <c r="D65">
        <v>5</v>
      </c>
      <c r="E65" t="s">
        <v>49</v>
      </c>
    </row>
    <row r="66" spans="1:11" x14ac:dyDescent="0.25">
      <c r="C66" s="4" t="str" cm="1">
        <f t="array" ref="C66">BuildLine(D66,E66:K66)</f>
        <v xml:space="preserve">                &lt;/ol&gt;</v>
      </c>
      <c r="D66">
        <v>4</v>
      </c>
      <c r="E66" t="s">
        <v>50</v>
      </c>
    </row>
    <row r="67" spans="1:11" x14ac:dyDescent="0.25">
      <c r="C67" s="4" t="str" cm="1">
        <f t="array" ref="C67">BuildLine(D67,E67:K67)</f>
        <v xml:space="preserve">            &lt;/div&gt;</v>
      </c>
      <c r="D67">
        <v>3</v>
      </c>
      <c r="E67" t="s">
        <v>41</v>
      </c>
    </row>
    <row r="68" spans="1:11" x14ac:dyDescent="0.25">
      <c r="C68" s="4" t="str" cm="1">
        <f t="array" ref="C68">BuildLine(D68,E68:K68)</f>
        <v xml:space="preserve">            &lt;div id="maincontent"&gt;</v>
      </c>
      <c r="D68">
        <v>3</v>
      </c>
      <c r="E68" t="s">
        <v>115</v>
      </c>
    </row>
    <row r="69" spans="1:11" x14ac:dyDescent="0.25">
      <c r="C69" s="4" t="str" cm="1">
        <f t="array" ref="C69">BuildLine(D69,E69:K69)</f>
        <v xml:space="preserve">                &lt;div id="sidebar"&gt;</v>
      </c>
      <c r="D69">
        <v>4</v>
      </c>
      <c r="E69" t="s">
        <v>116</v>
      </c>
    </row>
    <row r="70" spans="1:11" x14ac:dyDescent="0.25">
      <c r="C70" s="4" t="str" cm="1">
        <f t="array" ref="C70">BuildLine(D70,E70:K70)</f>
        <v xml:space="preserve">                    &lt;img id="logo" src="img/logo.jpg" alt="AAE Logo" /&gt;</v>
      </c>
      <c r="D70">
        <v>5</v>
      </c>
      <c r="E70" t="s">
        <v>117</v>
      </c>
    </row>
    <row r="71" spans="1:11" x14ac:dyDescent="0.25">
      <c r="C71" s="4" t="str" cm="1">
        <f t="array" ref="C71">BuildLine(D71,E71:K71)</f>
        <v xml:space="preserve">                    &lt;p id="label-name-location"&gt;</v>
      </c>
      <c r="D71">
        <v>5</v>
      </c>
      <c r="E71" t="s">
        <v>120</v>
      </c>
    </row>
    <row r="72" spans="1:11" x14ac:dyDescent="0.25">
      <c r="C72" s="4" t="str" cm="1">
        <f t="array" ref="C72">BuildLine(D72,E72:K72)</f>
        <v xml:space="preserve">                        &lt;span id="label-name"&gt;Altair Audio Engineering&lt;/span&gt;</v>
      </c>
      <c r="D72">
        <v>6</v>
      </c>
      <c r="E72" t="s">
        <v>118</v>
      </c>
    </row>
    <row r="73" spans="1:11" x14ac:dyDescent="0.25">
      <c r="C73" s="4" t="str" cm="1">
        <f t="array" ref="C73">BuildLine(D73,E73:K73)</f>
        <v xml:space="preserve">                        &lt;span id="location"&gt;Tustin, California&lt;/span&gt;</v>
      </c>
      <c r="D73">
        <v>6</v>
      </c>
      <c r="E73" t="s">
        <v>119</v>
      </c>
    </row>
    <row r="74" spans="1:11" x14ac:dyDescent="0.25">
      <c r="C74" s="4" t="str" cm="1">
        <f t="array" ref="C74">BuildLine(D74,E74:K74)</f>
        <v xml:space="preserve">                        &lt;span id="bio"&gt;Precision industrial music, zines &amp; culture.&lt;/span&gt;</v>
      </c>
      <c r="D74">
        <v>6</v>
      </c>
      <c r="E74" t="s">
        <v>125</v>
      </c>
    </row>
    <row r="75" spans="1:11" x14ac:dyDescent="0.25">
      <c r="C75" s="4" t="str" cm="1">
        <f t="array" ref="C75">BuildLine(D75,E75:K75)</f>
        <v xml:space="preserve">                    &lt;/p&gt;</v>
      </c>
      <c r="D75">
        <v>5</v>
      </c>
      <c r="E75" t="s">
        <v>48</v>
      </c>
    </row>
    <row r="76" spans="1:11" x14ac:dyDescent="0.25">
      <c r="C76" s="4" t="str" cm="1">
        <f t="array" ref="C76">BuildLine(D76,E76:K76)</f>
        <v xml:space="preserve">                &lt;/div&gt;</v>
      </c>
      <c r="D76">
        <v>4</v>
      </c>
      <c r="E76" t="s">
        <v>41</v>
      </c>
    </row>
    <row r="77" spans="1:11" ht="15.75" thickBot="1" x14ac:dyDescent="0.3">
      <c r="C77" s="4" t="str" cm="1">
        <f t="array" ref="C77">BuildLine(D77,E77:K77)</f>
        <v xml:space="preserve">                &lt;ol id="left-middle"&gt;</v>
      </c>
      <c r="D77">
        <v>4</v>
      </c>
      <c r="E77" s="2" t="s">
        <v>114</v>
      </c>
    </row>
    <row r="78" spans="1:11" x14ac:dyDescent="0.25">
      <c r="A78" s="7" t="s">
        <v>77</v>
      </c>
      <c r="B78" s="6" t="s">
        <v>83</v>
      </c>
      <c r="C78" s="4" t="str" cm="1">
        <f t="array" ref="C78">BuildLine(D78,E78:K78)</f>
        <v xml:space="preserve">                    &lt;li&gt;</v>
      </c>
      <c r="D78">
        <v>5</v>
      </c>
      <c r="E78" s="1" t="s">
        <v>39</v>
      </c>
      <c r="F78" s="1"/>
      <c r="G78" s="1"/>
      <c r="H78" s="1"/>
      <c r="I78" s="1"/>
      <c r="J78" s="1"/>
      <c r="K78" s="1"/>
    </row>
    <row r="79" spans="1:11" x14ac:dyDescent="0.25">
      <c r="A79" s="7" t="s">
        <v>78</v>
      </c>
      <c r="B79" s="6" t="s">
        <v>84</v>
      </c>
      <c r="C79" s="4" t="str" cm="1">
        <f t="array" ref="C79">BuildLine(D79,E79:K79)</f>
        <v xml:space="preserve">                        &lt;div class="art"&gt;</v>
      </c>
      <c r="D79">
        <v>6</v>
      </c>
      <c r="E79" s="2" t="s">
        <v>40</v>
      </c>
      <c r="F79" s="2"/>
      <c r="G79" s="2"/>
      <c r="H79" s="2"/>
      <c r="I79" s="2"/>
      <c r="J79" s="2"/>
      <c r="K79" s="2"/>
    </row>
    <row r="80" spans="1:11" x14ac:dyDescent="0.25">
      <c r="A80" s="7" t="s">
        <v>79</v>
      </c>
      <c r="B80" s="6" t="s">
        <v>85</v>
      </c>
      <c r="C80" s="4" t="str" cm="1">
        <f t="array" ref="C80">BuildLine(D80,E80:K80)</f>
        <v xml:space="preserve">                            &lt;img src="img/AAE0004.jpg" alt="Skoddie - Voiïid" /&gt;</v>
      </c>
      <c r="D80">
        <v>7</v>
      </c>
      <c r="E80" s="2" t="s">
        <v>52</v>
      </c>
      <c r="F80" s="5" t="str">
        <f>B80</f>
        <v>AAE0004</v>
      </c>
      <c r="G80" s="2" t="s">
        <v>54</v>
      </c>
      <c r="H80" s="5" t="str">
        <f>B79</f>
        <v>Skoddie</v>
      </c>
      <c r="I80" s="2" t="s">
        <v>56</v>
      </c>
      <c r="J80" s="5" t="str">
        <f>B78</f>
        <v>Voiïid</v>
      </c>
      <c r="K80" s="2" t="s">
        <v>57</v>
      </c>
    </row>
    <row r="81" spans="1:11" x14ac:dyDescent="0.25">
      <c r="A81" s="7" t="s">
        <v>80</v>
      </c>
      <c r="B81" s="9" t="s">
        <v>102</v>
      </c>
      <c r="C81" s="4" t="str" cm="1">
        <f t="array" ref="C81">BuildLine(D81,E81:K81)</f>
        <v xml:space="preserve">                        &lt;/div&gt;</v>
      </c>
      <c r="D81">
        <v>6</v>
      </c>
      <c r="E81" s="2" t="s">
        <v>41</v>
      </c>
      <c r="F81" s="2"/>
      <c r="G81" s="2"/>
      <c r="H81" s="2"/>
      <c r="I81" s="2"/>
      <c r="J81" s="2"/>
      <c r="K81" s="2"/>
    </row>
    <row r="82" spans="1:11" x14ac:dyDescent="0.25">
      <c r="A82" s="7" t="s">
        <v>81</v>
      </c>
      <c r="B82" s="9" t="s">
        <v>86</v>
      </c>
      <c r="C82" s="4" t="str" cm="1">
        <f t="array" ref="C82">BuildLine(D82,E82:K82)</f>
        <v xml:space="preserve">                        &lt;p&gt;</v>
      </c>
      <c r="D82">
        <v>6</v>
      </c>
      <c r="E82" s="2" t="s">
        <v>122</v>
      </c>
      <c r="F82" s="2"/>
      <c r="G82" s="2"/>
      <c r="H82" s="2"/>
      <c r="I82" s="2"/>
      <c r="J82" s="2"/>
      <c r="K82" s="2"/>
    </row>
    <row r="83" spans="1:11" x14ac:dyDescent="0.25">
      <c r="C83" s="4" t="str" cm="1">
        <f t="array" ref="C83">BuildLine(D83,E83:K83)</f>
        <v xml:space="preserve">                            &lt;table&gt;</v>
      </c>
      <c r="D83">
        <v>7</v>
      </c>
      <c r="E83" s="2" t="s">
        <v>42</v>
      </c>
      <c r="F83" s="2"/>
      <c r="G83" s="2"/>
      <c r="H83" s="2"/>
      <c r="I83" s="2"/>
      <c r="J83" s="2"/>
      <c r="K83" s="2"/>
    </row>
    <row r="84" spans="1:11" x14ac:dyDescent="0.25">
      <c r="C84" s="4" t="str" cm="1">
        <f t="array" ref="C84">BuildLine(D84,E84:K84)</f>
        <v xml:space="preserve">                                &lt;tr&gt;</v>
      </c>
      <c r="D84">
        <v>8</v>
      </c>
      <c r="E84" s="2" t="s">
        <v>43</v>
      </c>
      <c r="F84" s="2"/>
      <c r="G84" s="2"/>
      <c r="H84" s="2"/>
      <c r="I84" s="2"/>
      <c r="J84" s="2"/>
      <c r="K84" s="2"/>
    </row>
    <row r="85" spans="1:11" x14ac:dyDescent="0.25">
      <c r="C85" s="4" t="str" cm="1">
        <f t="array" ref="C85">BuildLine(D85,E85:K85)</f>
        <v xml:space="preserve">                                    &lt;td class="title-artist"&gt;</v>
      </c>
      <c r="D85">
        <v>9</v>
      </c>
      <c r="E85" s="2" t="s">
        <v>124</v>
      </c>
      <c r="F85" s="2"/>
      <c r="G85" s="2"/>
      <c r="H85" s="2"/>
      <c r="I85" s="2"/>
      <c r="J85" s="2"/>
      <c r="K85" s="2"/>
    </row>
    <row r="86" spans="1:11" x14ac:dyDescent="0.25">
      <c r="C86" s="4" t="str" cm="1">
        <f t="array" ref="C86">BuildLine(D86,E86:K86)</f>
        <v xml:space="preserve">                                        &lt;span class="title"&gt;Voiïid&lt;/span&gt;</v>
      </c>
      <c r="D86">
        <v>10</v>
      </c>
      <c r="E86" s="2" t="s">
        <v>121</v>
      </c>
      <c r="F86" s="5" t="str">
        <f>B78</f>
        <v>Voiïid</v>
      </c>
      <c r="G86" s="2" t="s">
        <v>58</v>
      </c>
      <c r="H86" s="2"/>
      <c r="I86" s="2"/>
      <c r="J86" s="2"/>
      <c r="K86" s="2"/>
    </row>
    <row r="87" spans="1:11" x14ac:dyDescent="0.25">
      <c r="C87" s="4" t="str" cm="1">
        <f t="array" ref="C87">BuildLine(D87,E87:K87)</f>
        <v xml:space="preserve">                                        &lt;br /&gt;</v>
      </c>
      <c r="D87">
        <v>10</v>
      </c>
      <c r="E87" s="2" t="s">
        <v>45</v>
      </c>
      <c r="F87" s="2"/>
      <c r="G87" s="2"/>
      <c r="H87" s="2"/>
      <c r="I87" s="2"/>
      <c r="J87" s="2"/>
      <c r="K87" s="2"/>
    </row>
    <row r="88" spans="1:11" x14ac:dyDescent="0.25">
      <c r="C88" s="4" t="str" cm="1">
        <f t="array" ref="C88">BuildLine(D88,E88:K88)</f>
        <v xml:space="preserve">                                        &lt;span class="artist"&gt;Skoddie&lt;/span&gt;</v>
      </c>
      <c r="D88">
        <v>10</v>
      </c>
      <c r="E88" s="2" t="s">
        <v>59</v>
      </c>
      <c r="F88" s="5" t="str">
        <f>B79</f>
        <v>Skoddie</v>
      </c>
      <c r="G88" s="2" t="s">
        <v>58</v>
      </c>
      <c r="H88" s="2"/>
      <c r="I88" s="2"/>
      <c r="J88" s="2"/>
      <c r="K88" s="2"/>
    </row>
    <row r="89" spans="1:11" x14ac:dyDescent="0.25">
      <c r="C89" s="4" t="str" cm="1">
        <f t="array" ref="C89">BuildLine(D89,E89:K89)</f>
        <v xml:space="preserve">                                    &lt;/td&gt;</v>
      </c>
      <c r="D89">
        <v>9</v>
      </c>
      <c r="E89" s="2" t="s">
        <v>46</v>
      </c>
      <c r="F89" s="2"/>
      <c r="G89" s="2"/>
      <c r="H89" s="2"/>
      <c r="I89" s="2"/>
      <c r="J89" s="2"/>
      <c r="K89" s="2"/>
    </row>
    <row r="90" spans="1:11" x14ac:dyDescent="0.25">
      <c r="C90" s="4" t="str" cm="1">
        <f t="array" ref="C90">BuildLine(D90,E90:K90)</f>
        <v xml:space="preserve">                                    &lt;td class="IA-BC"&gt;</v>
      </c>
      <c r="D90">
        <v>9</v>
      </c>
      <c r="E90" s="2" t="s">
        <v>123</v>
      </c>
      <c r="F90" s="2"/>
      <c r="G90" s="2"/>
      <c r="H90" s="2"/>
      <c r="I90" s="2"/>
      <c r="J90" s="2"/>
      <c r="K90" s="2"/>
    </row>
    <row r="91" spans="1:11" x14ac:dyDescent="0.25">
      <c r="C91" s="4" t="str" cm="1">
        <f t="array" ref="C91">BuildLine(D91,E91:K91)</f>
        <v xml:space="preserve">                                        &lt;a href="data:text/plain;base64,Tm90IHlldCBhdmFpbGFibGUgb24gSW50ZXJuZXQgQXJjaGl2ZQo="&gt;&lt;img src="ico/IA.png" alt= "Voiïid: Internet Archive" /&gt;&lt;/a&gt;</v>
      </c>
      <c r="D91">
        <v>10</v>
      </c>
      <c r="E91" s="2" t="s">
        <v>62</v>
      </c>
      <c r="F91" s="5" t="str">
        <f>B81</f>
        <v>data:text/plain;base64,Tm90IHlldCBhdmFpbGFibGUgb24gSW50ZXJuZXQgQXJjaGl2ZQo=</v>
      </c>
      <c r="G91" s="2" t="s">
        <v>64</v>
      </c>
      <c r="H91" s="5" t="str">
        <f>B78</f>
        <v>Voiïid</v>
      </c>
      <c r="I91" s="2" t="s">
        <v>65</v>
      </c>
      <c r="J91" s="2"/>
      <c r="K91" s="2"/>
    </row>
    <row r="92" spans="1:11" x14ac:dyDescent="0.25">
      <c r="C92" s="4" t="str" cm="1">
        <f t="array" ref="C92">BuildLine(D92,E92:K92)</f>
        <v xml:space="preserve">                                        &lt;a href="https://altairaudioengineering.bandcamp.com/album/voi-id"&gt;&lt;img src="ico/BC.png" alt="Voiïid: bandcamp" /&gt;&lt;/a&gt;</v>
      </c>
      <c r="D92">
        <v>10</v>
      </c>
      <c r="E92" s="2" t="s">
        <v>62</v>
      </c>
      <c r="F92" s="5" t="str">
        <f>B82</f>
        <v>https://altairaudioengineering.bandcamp.com/album/voi-id</v>
      </c>
      <c r="G92" s="2" t="s">
        <v>67</v>
      </c>
      <c r="H92" s="5" t="str">
        <f>B78</f>
        <v>Voiïid</v>
      </c>
      <c r="I92" s="2" t="s">
        <v>68</v>
      </c>
      <c r="J92" s="2"/>
      <c r="K92" s="2"/>
    </row>
    <row r="93" spans="1:11" x14ac:dyDescent="0.25">
      <c r="C93" s="4" t="str" cm="1">
        <f t="array" ref="C93">BuildLine(D93,E93:K93)</f>
        <v xml:space="preserve">                                    &lt;/td&gt;</v>
      </c>
      <c r="D93">
        <v>9</v>
      </c>
      <c r="E93" s="2" t="s">
        <v>46</v>
      </c>
      <c r="F93" s="2"/>
      <c r="G93" s="2"/>
      <c r="H93" s="2"/>
      <c r="I93" s="2"/>
      <c r="J93" s="2"/>
      <c r="K93" s="2"/>
    </row>
    <row r="94" spans="1:11" x14ac:dyDescent="0.25">
      <c r="C94" s="4" t="str" cm="1">
        <f t="array" ref="C94">BuildLine(D94,E94:K94)</f>
        <v xml:space="preserve">                                &lt;/tr&gt;</v>
      </c>
      <c r="D94">
        <v>8</v>
      </c>
      <c r="E94" s="2" t="s">
        <v>113</v>
      </c>
      <c r="F94" s="2"/>
      <c r="G94" s="2"/>
      <c r="H94" s="2"/>
      <c r="I94" s="2"/>
      <c r="J94" s="2"/>
      <c r="K94" s="2"/>
    </row>
    <row r="95" spans="1:11" x14ac:dyDescent="0.25">
      <c r="C95" s="4" t="str" cm="1">
        <f t="array" ref="C95">BuildLine(D95,E95:K95)</f>
        <v xml:space="preserve">                            &lt;/table&gt;</v>
      </c>
      <c r="D95">
        <v>7</v>
      </c>
      <c r="E95" s="2" t="s">
        <v>47</v>
      </c>
      <c r="F95" s="2"/>
      <c r="G95" s="2"/>
      <c r="H95" s="2"/>
      <c r="I95" s="2"/>
      <c r="J95" s="2"/>
      <c r="K95" s="2"/>
    </row>
    <row r="96" spans="1:11" x14ac:dyDescent="0.25">
      <c r="C96" s="4" t="str" cm="1">
        <f t="array" ref="C96">BuildLine(D96,E96:K96)</f>
        <v xml:space="preserve">                        &lt;/p&gt;</v>
      </c>
      <c r="D96">
        <v>6</v>
      </c>
      <c r="E96" s="2" t="s">
        <v>48</v>
      </c>
      <c r="F96" s="2"/>
      <c r="G96" s="2"/>
      <c r="H96" s="2"/>
      <c r="I96" s="2"/>
      <c r="J96" s="2"/>
      <c r="K96" s="2"/>
    </row>
    <row r="97" spans="1:11" ht="15.75" thickBot="1" x14ac:dyDescent="0.3">
      <c r="C97" s="4" t="str" cm="1">
        <f t="array" ref="C97">BuildLine(D97,E97:K97)</f>
        <v xml:space="preserve">                    &lt;/li&gt;</v>
      </c>
      <c r="D97">
        <v>5</v>
      </c>
      <c r="E97" s="3" t="s">
        <v>49</v>
      </c>
      <c r="F97" s="3"/>
      <c r="G97" s="3"/>
      <c r="H97" s="3"/>
      <c r="I97" s="3"/>
      <c r="J97" s="3"/>
      <c r="K97" s="3"/>
    </row>
    <row r="98" spans="1:11" x14ac:dyDescent="0.25">
      <c r="A98" s="7" t="s">
        <v>77</v>
      </c>
      <c r="B98" s="6" t="s">
        <v>87</v>
      </c>
      <c r="C98" s="4" t="str" cm="1">
        <f t="array" ref="C98">BuildLine(D98,E98:K98)</f>
        <v xml:space="preserve">                    &lt;li&gt;</v>
      </c>
      <c r="D98">
        <v>5</v>
      </c>
      <c r="E98" s="1" t="s">
        <v>39</v>
      </c>
      <c r="F98" s="1"/>
      <c r="G98" s="1"/>
      <c r="H98" s="1"/>
      <c r="I98" s="1"/>
      <c r="J98" s="1"/>
      <c r="K98" s="1"/>
    </row>
    <row r="99" spans="1:11" x14ac:dyDescent="0.25">
      <c r="A99" s="7" t="s">
        <v>78</v>
      </c>
      <c r="B99" s="6" t="s">
        <v>88</v>
      </c>
      <c r="C99" s="4" t="str" cm="1">
        <f t="array" ref="C99">BuildLine(D99,E99:K99)</f>
        <v xml:space="preserve">                        &lt;div class="art"&gt;</v>
      </c>
      <c r="D99">
        <v>6</v>
      </c>
      <c r="E99" s="2" t="s">
        <v>40</v>
      </c>
      <c r="F99" s="2"/>
      <c r="G99" s="2"/>
      <c r="H99" s="2"/>
      <c r="I99" s="2"/>
      <c r="J99" s="2"/>
      <c r="K99" s="2"/>
    </row>
    <row r="100" spans="1:11" x14ac:dyDescent="0.25">
      <c r="A100" s="7" t="s">
        <v>79</v>
      </c>
      <c r="B100" s="6" t="s">
        <v>89</v>
      </c>
      <c r="C100" s="4" t="str" cm="1">
        <f t="array" ref="C100">BuildLine(D100,E100:K100)</f>
        <v xml:space="preserve">                            &lt;img src="img/AAE0003.jpg" alt="Androchist - Androchist Go Brrrrrrrrrrrrrrrrrrrrrrrr" /&gt;</v>
      </c>
      <c r="D100">
        <v>7</v>
      </c>
      <c r="E100" s="2" t="s">
        <v>52</v>
      </c>
      <c r="F100" s="5" t="str">
        <f>B100</f>
        <v>AAE0003</v>
      </c>
      <c r="G100" s="2" t="s">
        <v>54</v>
      </c>
      <c r="H100" s="5" t="str">
        <f>B99</f>
        <v>Androchist</v>
      </c>
      <c r="I100" s="2" t="s">
        <v>56</v>
      </c>
      <c r="J100" s="5" t="str">
        <f>B98</f>
        <v>Androchist Go Brrrrrrrrrrrrrrrrrrrrrrrr</v>
      </c>
      <c r="K100" s="2" t="s">
        <v>57</v>
      </c>
    </row>
    <row r="101" spans="1:11" x14ac:dyDescent="0.25">
      <c r="A101" s="7" t="s">
        <v>80</v>
      </c>
      <c r="B101" s="9" t="s">
        <v>90</v>
      </c>
      <c r="C101" s="4" t="str" cm="1">
        <f t="array" ref="C101">BuildLine(D101,E101:K101)</f>
        <v xml:space="preserve">                        &lt;/div&gt;</v>
      </c>
      <c r="D101">
        <v>6</v>
      </c>
      <c r="E101" s="2" t="s">
        <v>41</v>
      </c>
      <c r="F101" s="2"/>
      <c r="G101" s="2"/>
      <c r="H101" s="2"/>
      <c r="I101" s="2"/>
      <c r="J101" s="2"/>
      <c r="K101" s="2"/>
    </row>
    <row r="102" spans="1:11" x14ac:dyDescent="0.25">
      <c r="A102" s="7" t="s">
        <v>81</v>
      </c>
      <c r="B102" s="9" t="s">
        <v>91</v>
      </c>
      <c r="C102" s="4" t="str" cm="1">
        <f t="array" ref="C102">BuildLine(D102,E102:K102)</f>
        <v xml:space="preserve">                        &lt;p&gt;</v>
      </c>
      <c r="D102">
        <v>6</v>
      </c>
      <c r="E102" s="2" t="s">
        <v>122</v>
      </c>
      <c r="F102" s="2"/>
      <c r="G102" s="2"/>
      <c r="H102" s="2"/>
      <c r="I102" s="2"/>
      <c r="J102" s="2"/>
      <c r="K102" s="2"/>
    </row>
    <row r="103" spans="1:11" x14ac:dyDescent="0.25">
      <c r="C103" s="4" t="str" cm="1">
        <f t="array" ref="C103">BuildLine(D103,E103:K103)</f>
        <v xml:space="preserve">                            &lt;table&gt;</v>
      </c>
      <c r="D103">
        <v>7</v>
      </c>
      <c r="E103" s="2" t="s">
        <v>42</v>
      </c>
      <c r="F103" s="2"/>
      <c r="G103" s="2"/>
      <c r="H103" s="2"/>
      <c r="I103" s="2"/>
      <c r="J103" s="2"/>
      <c r="K103" s="2"/>
    </row>
    <row r="104" spans="1:11" x14ac:dyDescent="0.25">
      <c r="C104" s="4" t="str" cm="1">
        <f t="array" ref="C104">BuildLine(D104,E104:K104)</f>
        <v xml:space="preserve">                                &lt;tr&gt;</v>
      </c>
      <c r="D104">
        <v>8</v>
      </c>
      <c r="E104" s="2" t="s">
        <v>43</v>
      </c>
      <c r="F104" s="2"/>
      <c r="G104" s="2"/>
      <c r="H104" s="2"/>
      <c r="I104" s="2"/>
      <c r="J104" s="2"/>
      <c r="K104" s="2"/>
    </row>
    <row r="105" spans="1:11" x14ac:dyDescent="0.25">
      <c r="C105" s="4" t="str" cm="1">
        <f t="array" ref="C105">BuildLine(D105,E105:K105)</f>
        <v xml:space="preserve">                                    &lt;td class="title-artist"&gt;</v>
      </c>
      <c r="D105">
        <v>9</v>
      </c>
      <c r="E105" s="2" t="s">
        <v>124</v>
      </c>
      <c r="F105" s="2"/>
      <c r="G105" s="2"/>
      <c r="H105" s="2"/>
      <c r="I105" s="2"/>
      <c r="J105" s="2"/>
      <c r="K105" s="2"/>
    </row>
    <row r="106" spans="1:11" x14ac:dyDescent="0.25">
      <c r="C106" s="4" t="str" cm="1">
        <f t="array" ref="C106">BuildLine(D106,E106:K106)</f>
        <v xml:space="preserve">                                        &lt;span class="title"&gt;Androchist Go Brrrrrrrrrrrrrrrrrrrrrrrr&lt;/span&gt;</v>
      </c>
      <c r="D106">
        <v>10</v>
      </c>
      <c r="E106" s="2" t="s">
        <v>121</v>
      </c>
      <c r="F106" s="5" t="str">
        <f>B98</f>
        <v>Androchist Go Brrrrrrrrrrrrrrrrrrrrrrrr</v>
      </c>
      <c r="G106" s="2" t="s">
        <v>58</v>
      </c>
      <c r="H106" s="2"/>
      <c r="I106" s="2"/>
      <c r="J106" s="2"/>
      <c r="K106" s="2"/>
    </row>
    <row r="107" spans="1:11" x14ac:dyDescent="0.25">
      <c r="C107" s="4" t="str" cm="1">
        <f t="array" ref="C107">BuildLine(D107,E107:K107)</f>
        <v xml:space="preserve">                                        &lt;br /&gt;</v>
      </c>
      <c r="D107">
        <v>10</v>
      </c>
      <c r="E107" s="2" t="s">
        <v>45</v>
      </c>
      <c r="F107" s="2"/>
      <c r="G107" s="2"/>
      <c r="H107" s="2"/>
      <c r="I107" s="2"/>
      <c r="J107" s="2"/>
      <c r="K107" s="2"/>
    </row>
    <row r="108" spans="1:11" x14ac:dyDescent="0.25">
      <c r="C108" s="4" t="str" cm="1">
        <f t="array" ref="C108">BuildLine(D108,E108:K108)</f>
        <v xml:space="preserve">                                        &lt;span class="artist"&gt;Androchist&lt;/span&gt;</v>
      </c>
      <c r="D108">
        <v>10</v>
      </c>
      <c r="E108" s="2" t="s">
        <v>59</v>
      </c>
      <c r="F108" s="5" t="str">
        <f>B99</f>
        <v>Androchist</v>
      </c>
      <c r="G108" s="2" t="s">
        <v>58</v>
      </c>
      <c r="H108" s="2"/>
      <c r="I108" s="2"/>
      <c r="J108" s="2"/>
      <c r="K108" s="2"/>
    </row>
    <row r="109" spans="1:11" x14ac:dyDescent="0.25">
      <c r="C109" s="4" t="str" cm="1">
        <f t="array" ref="C109">BuildLine(D109,E109:K109)</f>
        <v xml:space="preserve">                                    &lt;/td&gt;</v>
      </c>
      <c r="D109">
        <v>9</v>
      </c>
      <c r="E109" s="2" t="s">
        <v>46</v>
      </c>
      <c r="F109" s="2"/>
      <c r="G109" s="2"/>
      <c r="H109" s="2"/>
      <c r="I109" s="2"/>
      <c r="J109" s="2"/>
      <c r="K109" s="2"/>
    </row>
    <row r="110" spans="1:11" x14ac:dyDescent="0.25">
      <c r="C110" s="4" t="str" cm="1">
        <f t="array" ref="C110">BuildLine(D110,E110:K110)</f>
        <v xml:space="preserve">                                    &lt;td class="IA-BC"&gt;</v>
      </c>
      <c r="D110">
        <v>9</v>
      </c>
      <c r="E110" s="2" t="s">
        <v>123</v>
      </c>
      <c r="F110" s="2"/>
      <c r="G110" s="2"/>
      <c r="H110" s="2"/>
      <c r="I110" s="2"/>
      <c r="J110" s="2"/>
      <c r="K110" s="2"/>
    </row>
    <row r="111" spans="1:11" x14ac:dyDescent="0.25">
      <c r="C111" s="4" t="str" cm="1">
        <f t="array" ref="C111">BuildLine(D111,E111:K111)</f>
        <v xml:space="preserve">                                        &lt;a href="https://archive.org/details/AAE0003"&gt;&lt;img src="ico/IA.png" alt= "Androchist Go Brrrrrrrrrrrrrrrrrrrrrrrr: Internet Archive" /&gt;&lt;/a&gt;</v>
      </c>
      <c r="D111">
        <v>10</v>
      </c>
      <c r="E111" s="2" t="s">
        <v>62</v>
      </c>
      <c r="F111" s="5" t="str">
        <f>B101</f>
        <v>https://archive.org/details/AAE0003</v>
      </c>
      <c r="G111" s="2" t="s">
        <v>64</v>
      </c>
      <c r="H111" s="5" t="str">
        <f>B98</f>
        <v>Androchist Go Brrrrrrrrrrrrrrrrrrrrrrrr</v>
      </c>
      <c r="I111" s="2" t="s">
        <v>65</v>
      </c>
      <c r="J111" s="2"/>
      <c r="K111" s="2"/>
    </row>
    <row r="112" spans="1:11" x14ac:dyDescent="0.25">
      <c r="C112" s="4" t="str" cm="1">
        <f t="array" ref="C112">BuildLine(D112,E112:K112)</f>
        <v xml:space="preserve">                                        &lt;a href="https://altairaudioengineering.bandcamp.com/album/androchist-go-brrrrrrrrrrrrrrrrrrrrrrrr"&gt;&lt;img src="ico/BC.png" alt="Androchist Go Brrrrrrrrrrrrrrrrrrrrrrrr: bandcamp" /&gt;&lt;/a&gt;</v>
      </c>
      <c r="D112">
        <v>10</v>
      </c>
      <c r="E112" s="2" t="s">
        <v>62</v>
      </c>
      <c r="F112" s="5" t="str">
        <f>B102</f>
        <v>https://altairaudioengineering.bandcamp.com/album/androchist-go-brrrrrrrrrrrrrrrrrrrrrrrr</v>
      </c>
      <c r="G112" s="2" t="s">
        <v>67</v>
      </c>
      <c r="H112" s="5" t="str">
        <f>B98</f>
        <v>Androchist Go Brrrrrrrrrrrrrrrrrrrrrrrr</v>
      </c>
      <c r="I112" s="2" t="s">
        <v>68</v>
      </c>
      <c r="J112" s="2"/>
      <c r="K112" s="2"/>
    </row>
    <row r="113" spans="1:11" x14ac:dyDescent="0.25">
      <c r="C113" s="4" t="str" cm="1">
        <f t="array" ref="C113">BuildLine(D113,E113:K113)</f>
        <v xml:space="preserve">                                    &lt;/td&gt;</v>
      </c>
      <c r="D113">
        <v>9</v>
      </c>
      <c r="E113" s="2" t="s">
        <v>46</v>
      </c>
      <c r="F113" s="2"/>
      <c r="G113" s="2"/>
      <c r="H113" s="2"/>
      <c r="I113" s="2"/>
      <c r="J113" s="2"/>
      <c r="K113" s="2"/>
    </row>
    <row r="114" spans="1:11" x14ac:dyDescent="0.25">
      <c r="C114" s="4" t="str" cm="1">
        <f t="array" ref="C114">BuildLine(D114,E114:K114)</f>
        <v xml:space="preserve">                                &lt;/tr&gt;</v>
      </c>
      <c r="D114">
        <v>8</v>
      </c>
      <c r="E114" s="2" t="s">
        <v>113</v>
      </c>
      <c r="F114" s="2"/>
      <c r="G114" s="2"/>
      <c r="H114" s="2"/>
      <c r="I114" s="2"/>
      <c r="J114" s="2"/>
      <c r="K114" s="2"/>
    </row>
    <row r="115" spans="1:11" x14ac:dyDescent="0.25">
      <c r="C115" s="4" t="str" cm="1">
        <f t="array" ref="C115">BuildLine(D115,E115:K115)</f>
        <v xml:space="preserve">                            &lt;/table&gt;</v>
      </c>
      <c r="D115">
        <v>7</v>
      </c>
      <c r="E115" s="2" t="s">
        <v>47</v>
      </c>
      <c r="F115" s="2"/>
      <c r="G115" s="2"/>
      <c r="H115" s="2"/>
      <c r="I115" s="2"/>
      <c r="J115" s="2"/>
      <c r="K115" s="2"/>
    </row>
    <row r="116" spans="1:11" x14ac:dyDescent="0.25">
      <c r="C116" s="4" t="str" cm="1">
        <f t="array" ref="C116">BuildLine(D116,E116:K116)</f>
        <v xml:space="preserve">                        &lt;/p&gt;</v>
      </c>
      <c r="D116">
        <v>6</v>
      </c>
      <c r="E116" s="2" t="s">
        <v>48</v>
      </c>
      <c r="F116" s="2"/>
      <c r="G116" s="2"/>
      <c r="H116" s="2"/>
      <c r="I116" s="2"/>
      <c r="J116" s="2"/>
      <c r="K116" s="2"/>
    </row>
    <row r="117" spans="1:11" ht="15.75" thickBot="1" x14ac:dyDescent="0.3">
      <c r="C117" s="4" t="str" cm="1">
        <f t="array" ref="C117">BuildLine(D117,E117:K117)</f>
        <v xml:space="preserve">                    &lt;/li&gt;</v>
      </c>
      <c r="D117">
        <v>5</v>
      </c>
      <c r="E117" s="3" t="s">
        <v>49</v>
      </c>
      <c r="F117" s="3"/>
      <c r="G117" s="3"/>
      <c r="H117" s="3"/>
      <c r="I117" s="3"/>
      <c r="J117" s="3"/>
      <c r="K117" s="3"/>
    </row>
    <row r="118" spans="1:11" x14ac:dyDescent="0.25">
      <c r="A118" s="7" t="s">
        <v>77</v>
      </c>
      <c r="B118" s="6" t="s">
        <v>92</v>
      </c>
      <c r="C118" s="4" t="str" cm="1">
        <f t="array" ref="C118">BuildLine(D118,E118:K118)</f>
        <v xml:space="preserve">                    &lt;li&gt;</v>
      </c>
      <c r="D118">
        <v>5</v>
      </c>
      <c r="E118" s="1" t="s">
        <v>39</v>
      </c>
      <c r="F118" s="1"/>
      <c r="G118" s="1"/>
      <c r="H118" s="1"/>
      <c r="I118" s="1"/>
      <c r="J118" s="1"/>
      <c r="K118" s="1"/>
    </row>
    <row r="119" spans="1:11" x14ac:dyDescent="0.25">
      <c r="A119" s="7" t="s">
        <v>78</v>
      </c>
      <c r="B119" s="6" t="s">
        <v>93</v>
      </c>
      <c r="C119" s="4" t="str" cm="1">
        <f t="array" ref="C119">BuildLine(D119,E119:K119)</f>
        <v xml:space="preserve">                        &lt;div class="art"&gt;</v>
      </c>
      <c r="D119">
        <v>6</v>
      </c>
      <c r="E119" s="2" t="s">
        <v>40</v>
      </c>
      <c r="F119" s="2"/>
      <c r="G119" s="2"/>
      <c r="H119" s="2"/>
      <c r="I119" s="2"/>
      <c r="J119" s="2"/>
      <c r="K119" s="2"/>
    </row>
    <row r="120" spans="1:11" x14ac:dyDescent="0.25">
      <c r="A120" s="7" t="s">
        <v>79</v>
      </c>
      <c r="B120" s="6" t="s">
        <v>94</v>
      </c>
      <c r="C120" s="4" t="str" cm="1">
        <f t="array" ref="C120">BuildLine(D120,E120:K120)</f>
        <v xml:space="preserve">                            &lt;img src="img/AAE0002.jpg" alt="Autumn Altair - Echoes on Stone Walls" /&gt;</v>
      </c>
      <c r="D120">
        <v>7</v>
      </c>
      <c r="E120" s="2" t="s">
        <v>52</v>
      </c>
      <c r="F120" s="5" t="str">
        <f>B120</f>
        <v>AAE0002</v>
      </c>
      <c r="G120" s="2" t="s">
        <v>54</v>
      </c>
      <c r="H120" s="5" t="str">
        <f>B119</f>
        <v>Autumn Altair</v>
      </c>
      <c r="I120" s="2" t="s">
        <v>56</v>
      </c>
      <c r="J120" s="5" t="str">
        <f>B118</f>
        <v>Echoes on Stone Walls</v>
      </c>
      <c r="K120" s="2" t="s">
        <v>57</v>
      </c>
    </row>
    <row r="121" spans="1:11" x14ac:dyDescent="0.25">
      <c r="A121" s="7" t="s">
        <v>80</v>
      </c>
      <c r="B121" s="9" t="s">
        <v>95</v>
      </c>
      <c r="C121" s="4" t="str" cm="1">
        <f t="array" ref="C121">BuildLine(D121,E121:K121)</f>
        <v xml:space="preserve">                        &lt;/div&gt;</v>
      </c>
      <c r="D121">
        <v>6</v>
      </c>
      <c r="E121" s="2" t="s">
        <v>41</v>
      </c>
      <c r="F121" s="2"/>
      <c r="G121" s="2"/>
      <c r="H121" s="2"/>
      <c r="I121" s="2"/>
      <c r="J121" s="2"/>
      <c r="K121" s="2"/>
    </row>
    <row r="122" spans="1:11" x14ac:dyDescent="0.25">
      <c r="A122" s="7" t="s">
        <v>81</v>
      </c>
      <c r="B122" s="9" t="s">
        <v>96</v>
      </c>
      <c r="C122" s="4" t="str" cm="1">
        <f t="array" ref="C122">BuildLine(D122,E122:K122)</f>
        <v xml:space="preserve">                        &lt;p&gt;</v>
      </c>
      <c r="D122">
        <v>6</v>
      </c>
      <c r="E122" s="2" t="s">
        <v>122</v>
      </c>
      <c r="F122" s="2"/>
      <c r="G122" s="2"/>
      <c r="H122" s="2"/>
      <c r="I122" s="2"/>
      <c r="J122" s="2"/>
      <c r="K122" s="2"/>
    </row>
    <row r="123" spans="1:11" x14ac:dyDescent="0.25">
      <c r="C123" s="4" t="str" cm="1">
        <f t="array" ref="C123">BuildLine(D123,E123:K123)</f>
        <v xml:space="preserve">                            &lt;table&gt;</v>
      </c>
      <c r="D123">
        <v>7</v>
      </c>
      <c r="E123" s="2" t="s">
        <v>42</v>
      </c>
      <c r="F123" s="2"/>
      <c r="G123" s="2"/>
      <c r="H123" s="2"/>
      <c r="I123" s="2"/>
      <c r="J123" s="2"/>
      <c r="K123" s="2"/>
    </row>
    <row r="124" spans="1:11" x14ac:dyDescent="0.25">
      <c r="C124" s="4" t="str" cm="1">
        <f t="array" ref="C124">BuildLine(D124,E124:K124)</f>
        <v xml:space="preserve">                                &lt;tr&gt;</v>
      </c>
      <c r="D124">
        <v>8</v>
      </c>
      <c r="E124" s="2" t="s">
        <v>43</v>
      </c>
      <c r="F124" s="2"/>
      <c r="G124" s="2"/>
      <c r="H124" s="2"/>
      <c r="I124" s="2"/>
      <c r="J124" s="2"/>
      <c r="K124" s="2"/>
    </row>
    <row r="125" spans="1:11" x14ac:dyDescent="0.25">
      <c r="C125" s="4" t="str" cm="1">
        <f t="array" ref="C125">BuildLine(D125,E125:K125)</f>
        <v xml:space="preserve">                                    &lt;td class="title-artist"&gt;</v>
      </c>
      <c r="D125">
        <v>9</v>
      </c>
      <c r="E125" s="2" t="s">
        <v>124</v>
      </c>
      <c r="F125" s="2"/>
      <c r="G125" s="2"/>
      <c r="H125" s="2"/>
      <c r="I125" s="2"/>
      <c r="J125" s="2"/>
      <c r="K125" s="2"/>
    </row>
    <row r="126" spans="1:11" x14ac:dyDescent="0.25">
      <c r="C126" s="4" t="str" cm="1">
        <f t="array" ref="C126">BuildLine(D126,E126:K126)</f>
        <v xml:space="preserve">                                        &lt;span class="title"&gt;Echoes on Stone Walls&lt;/span&gt;</v>
      </c>
      <c r="D126">
        <v>10</v>
      </c>
      <c r="E126" s="2" t="s">
        <v>121</v>
      </c>
      <c r="F126" s="5" t="str">
        <f>B118</f>
        <v>Echoes on Stone Walls</v>
      </c>
      <c r="G126" s="2" t="s">
        <v>58</v>
      </c>
      <c r="H126" s="2"/>
      <c r="I126" s="2"/>
      <c r="J126" s="2"/>
      <c r="K126" s="2"/>
    </row>
    <row r="127" spans="1:11" x14ac:dyDescent="0.25">
      <c r="C127" s="4" t="str" cm="1">
        <f t="array" ref="C127">BuildLine(D127,E127:K127)</f>
        <v xml:space="preserve">                                        &lt;br /&gt;</v>
      </c>
      <c r="D127">
        <v>10</v>
      </c>
      <c r="E127" s="2" t="s">
        <v>45</v>
      </c>
      <c r="F127" s="2"/>
      <c r="G127" s="2"/>
      <c r="H127" s="2"/>
      <c r="I127" s="2"/>
      <c r="J127" s="2"/>
      <c r="K127" s="2"/>
    </row>
    <row r="128" spans="1:11" x14ac:dyDescent="0.25">
      <c r="C128" s="4" t="str" cm="1">
        <f t="array" ref="C128">BuildLine(D128,E128:K128)</f>
        <v xml:space="preserve">                                        &lt;span class="artist"&gt;Autumn Altair&lt;/span&gt;</v>
      </c>
      <c r="D128">
        <v>10</v>
      </c>
      <c r="E128" s="2" t="s">
        <v>59</v>
      </c>
      <c r="F128" s="5" t="str">
        <f>B119</f>
        <v>Autumn Altair</v>
      </c>
      <c r="G128" s="2" t="s">
        <v>58</v>
      </c>
      <c r="H128" s="2"/>
      <c r="I128" s="2"/>
      <c r="J128" s="2"/>
      <c r="K128" s="2"/>
    </row>
    <row r="129" spans="1:11" x14ac:dyDescent="0.25">
      <c r="C129" s="4" t="str" cm="1">
        <f t="array" ref="C129">BuildLine(D129,E129:K129)</f>
        <v xml:space="preserve">                                    &lt;/td&gt;</v>
      </c>
      <c r="D129">
        <v>9</v>
      </c>
      <c r="E129" s="2" t="s">
        <v>46</v>
      </c>
      <c r="F129" s="2"/>
      <c r="G129" s="2"/>
      <c r="H129" s="2"/>
      <c r="I129" s="2"/>
      <c r="J129" s="2"/>
      <c r="K129" s="2"/>
    </row>
    <row r="130" spans="1:11" x14ac:dyDescent="0.25">
      <c r="C130" s="4" t="str" cm="1">
        <f t="array" ref="C130">BuildLine(D130,E130:K130)</f>
        <v xml:space="preserve">                                    &lt;td class="IA-BC"&gt;</v>
      </c>
      <c r="D130">
        <v>9</v>
      </c>
      <c r="E130" s="2" t="s">
        <v>123</v>
      </c>
      <c r="F130" s="2"/>
      <c r="G130" s="2"/>
      <c r="H130" s="2"/>
      <c r="I130" s="2"/>
      <c r="J130" s="2"/>
      <c r="K130" s="2"/>
    </row>
    <row r="131" spans="1:11" x14ac:dyDescent="0.25">
      <c r="C131" s="4" t="str" cm="1">
        <f t="array" ref="C131">BuildLine(D131,E131:K131)</f>
        <v xml:space="preserve">                                        &lt;a href="https://archive.org/details/echoes-on-stone-walls"&gt;&lt;img src="ico/IA.png" alt= "Echoes on Stone Walls: Internet Archive" /&gt;&lt;/a&gt;</v>
      </c>
      <c r="D131">
        <v>10</v>
      </c>
      <c r="E131" s="2" t="s">
        <v>62</v>
      </c>
      <c r="F131" s="5" t="str">
        <f>B121</f>
        <v>https://archive.org/details/echoes-on-stone-walls</v>
      </c>
      <c r="G131" s="2" t="s">
        <v>64</v>
      </c>
      <c r="H131" s="5" t="str">
        <f>B118</f>
        <v>Echoes on Stone Walls</v>
      </c>
      <c r="I131" s="2" t="s">
        <v>65</v>
      </c>
      <c r="J131" s="2"/>
      <c r="K131" s="2"/>
    </row>
    <row r="132" spans="1:11" x14ac:dyDescent="0.25">
      <c r="C132" s="4" t="str" cm="1">
        <f t="array" ref="C132">BuildLine(D132,E132:K132)</f>
        <v xml:space="preserve">                                        &lt;a href="https://altairaudioengineering.bandcamp.com/album/echoes-on-stone-walls"&gt;&lt;img src="ico/BC.png" alt="Echoes on Stone Walls: bandcamp" /&gt;&lt;/a&gt;</v>
      </c>
      <c r="D132">
        <v>10</v>
      </c>
      <c r="E132" s="2" t="s">
        <v>62</v>
      </c>
      <c r="F132" s="5" t="str">
        <f>B122</f>
        <v>https://altairaudioengineering.bandcamp.com/album/echoes-on-stone-walls</v>
      </c>
      <c r="G132" s="2" t="s">
        <v>67</v>
      </c>
      <c r="H132" s="5" t="str">
        <f>B118</f>
        <v>Echoes on Stone Walls</v>
      </c>
      <c r="I132" s="2" t="s">
        <v>68</v>
      </c>
      <c r="J132" s="2"/>
      <c r="K132" s="2"/>
    </row>
    <row r="133" spans="1:11" x14ac:dyDescent="0.25">
      <c r="C133" s="4" t="str" cm="1">
        <f t="array" ref="C133">BuildLine(D133,E133:K133)</f>
        <v xml:space="preserve">                                    &lt;/td&gt;</v>
      </c>
      <c r="D133">
        <v>9</v>
      </c>
      <c r="E133" s="2" t="s">
        <v>46</v>
      </c>
      <c r="F133" s="2"/>
      <c r="G133" s="2"/>
      <c r="H133" s="2"/>
      <c r="I133" s="2"/>
      <c r="J133" s="2"/>
      <c r="K133" s="2"/>
    </row>
    <row r="134" spans="1:11" x14ac:dyDescent="0.25">
      <c r="C134" s="4" t="str" cm="1">
        <f t="array" ref="C134">BuildLine(D134,E134:K134)</f>
        <v xml:space="preserve">                                &lt;/tr&gt;</v>
      </c>
      <c r="D134">
        <v>8</v>
      </c>
      <c r="E134" s="2" t="s">
        <v>113</v>
      </c>
      <c r="F134" s="2"/>
      <c r="G134" s="2"/>
      <c r="H134" s="2"/>
      <c r="I134" s="2"/>
      <c r="J134" s="2"/>
      <c r="K134" s="2"/>
    </row>
    <row r="135" spans="1:11" x14ac:dyDescent="0.25">
      <c r="C135" s="4" t="str" cm="1">
        <f t="array" ref="C135">BuildLine(D135,E135:K135)</f>
        <v xml:space="preserve">                            &lt;/table&gt;</v>
      </c>
      <c r="D135">
        <v>7</v>
      </c>
      <c r="E135" s="2" t="s">
        <v>47</v>
      </c>
      <c r="F135" s="2"/>
      <c r="G135" s="2"/>
      <c r="H135" s="2"/>
      <c r="I135" s="2"/>
      <c r="J135" s="2"/>
      <c r="K135" s="2"/>
    </row>
    <row r="136" spans="1:11" x14ac:dyDescent="0.25">
      <c r="C136" s="4" t="str" cm="1">
        <f t="array" ref="C136">BuildLine(D136,E136:K136)</f>
        <v xml:space="preserve">                        &lt;/p&gt;</v>
      </c>
      <c r="D136">
        <v>6</v>
      </c>
      <c r="E136" s="2" t="s">
        <v>48</v>
      </c>
      <c r="F136" s="2"/>
      <c r="G136" s="2"/>
      <c r="H136" s="2"/>
      <c r="I136" s="2"/>
      <c r="J136" s="2"/>
      <c r="K136" s="2"/>
    </row>
    <row r="137" spans="1:11" ht="15.75" thickBot="1" x14ac:dyDescent="0.3">
      <c r="C137" s="4" t="str" cm="1">
        <f t="array" ref="C137">BuildLine(D137,E137:K137)</f>
        <v xml:space="preserve">                    &lt;/li&gt;</v>
      </c>
      <c r="D137">
        <v>5</v>
      </c>
      <c r="E137" s="3" t="s">
        <v>49</v>
      </c>
      <c r="F137" s="3"/>
      <c r="G137" s="3"/>
      <c r="H137" s="3"/>
      <c r="I137" s="3"/>
      <c r="J137" s="3"/>
      <c r="K137" s="3"/>
    </row>
    <row r="138" spans="1:11" x14ac:dyDescent="0.25">
      <c r="A138" s="7" t="s">
        <v>77</v>
      </c>
      <c r="B138" s="6" t="s">
        <v>97</v>
      </c>
      <c r="C138" s="4" t="str" cm="1">
        <f t="array" ref="C138">BuildLine(D138,E138:K138)</f>
        <v xml:space="preserve">                    &lt;li&gt;</v>
      </c>
      <c r="D138">
        <v>5</v>
      </c>
      <c r="E138" s="1" t="s">
        <v>39</v>
      </c>
      <c r="F138" s="1"/>
      <c r="G138" s="1"/>
      <c r="H138" s="1"/>
      <c r="I138" s="1"/>
      <c r="J138" s="1"/>
      <c r="K138" s="1"/>
    </row>
    <row r="139" spans="1:11" x14ac:dyDescent="0.25">
      <c r="A139" s="7" t="s">
        <v>78</v>
      </c>
      <c r="B139" s="6" t="s">
        <v>98</v>
      </c>
      <c r="C139" s="4" t="str" cm="1">
        <f t="array" ref="C139">BuildLine(D139,E139:K139)</f>
        <v xml:space="preserve">                        &lt;div class="art"&gt;</v>
      </c>
      <c r="D139">
        <v>6</v>
      </c>
      <c r="E139" s="2" t="s">
        <v>40</v>
      </c>
      <c r="F139" s="2"/>
      <c r="G139" s="2"/>
      <c r="H139" s="2"/>
      <c r="I139" s="2"/>
      <c r="J139" s="2"/>
      <c r="K139" s="2"/>
    </row>
    <row r="140" spans="1:11" x14ac:dyDescent="0.25">
      <c r="A140" s="7" t="s">
        <v>79</v>
      </c>
      <c r="B140" s="6" t="s">
        <v>101</v>
      </c>
      <c r="C140" s="4" t="str" cm="1">
        <f t="array" ref="C140">BuildLine(D140,E140:K140)</f>
        <v xml:space="preserve">                            &lt;img src="img/AAE0001.jpg" alt="Vacant Lunar Transit - Vacant Lunar Transit Zine 00" /&gt;</v>
      </c>
      <c r="D140">
        <v>7</v>
      </c>
      <c r="E140" s="2" t="s">
        <v>52</v>
      </c>
      <c r="F140" s="5" t="str">
        <f>B140</f>
        <v>AAE0001</v>
      </c>
      <c r="G140" s="2" t="s">
        <v>54</v>
      </c>
      <c r="H140" s="5" t="str">
        <f>B139</f>
        <v>Vacant Lunar Transit</v>
      </c>
      <c r="I140" s="2" t="s">
        <v>56</v>
      </c>
      <c r="J140" s="5" t="str">
        <f>B138</f>
        <v>Vacant Lunar Transit Zine 00</v>
      </c>
      <c r="K140" s="2" t="s">
        <v>57</v>
      </c>
    </row>
    <row r="141" spans="1:11" x14ac:dyDescent="0.25">
      <c r="A141" s="7" t="s">
        <v>80</v>
      </c>
      <c r="B141" s="9" t="s">
        <v>99</v>
      </c>
      <c r="C141" s="4" t="str" cm="1">
        <f t="array" ref="C141">BuildLine(D141,E141:K141)</f>
        <v xml:space="preserve">                        &lt;/div&gt;</v>
      </c>
      <c r="D141">
        <v>6</v>
      </c>
      <c r="E141" s="2" t="s">
        <v>41</v>
      </c>
      <c r="F141" s="2"/>
      <c r="G141" s="2"/>
      <c r="H141" s="2"/>
      <c r="I141" s="2"/>
      <c r="J141" s="2"/>
      <c r="K141" s="2"/>
    </row>
    <row r="142" spans="1:11" x14ac:dyDescent="0.25">
      <c r="A142" s="7" t="s">
        <v>81</v>
      </c>
      <c r="B142" s="9" t="s">
        <v>100</v>
      </c>
      <c r="C142" s="4" t="str" cm="1">
        <f t="array" ref="C142">BuildLine(D142,E142:K142)</f>
        <v xml:space="preserve">                        &lt;p&gt;</v>
      </c>
      <c r="D142">
        <v>6</v>
      </c>
      <c r="E142" s="2" t="s">
        <v>122</v>
      </c>
      <c r="F142" s="2"/>
      <c r="G142" s="2"/>
      <c r="H142" s="2"/>
      <c r="I142" s="2"/>
      <c r="J142" s="2"/>
      <c r="K142" s="2"/>
    </row>
    <row r="143" spans="1:11" x14ac:dyDescent="0.25">
      <c r="C143" s="4" t="str" cm="1">
        <f t="array" ref="C143">BuildLine(D143,E143:K143)</f>
        <v xml:space="preserve">                            &lt;table&gt;</v>
      </c>
      <c r="D143">
        <v>7</v>
      </c>
      <c r="E143" s="2" t="s">
        <v>42</v>
      </c>
      <c r="F143" s="2"/>
      <c r="G143" s="2"/>
      <c r="H143" s="2"/>
      <c r="I143" s="2"/>
      <c r="J143" s="2"/>
      <c r="K143" s="2"/>
    </row>
    <row r="144" spans="1:11" x14ac:dyDescent="0.25">
      <c r="C144" s="4" t="str" cm="1">
        <f t="array" ref="C144">BuildLine(D144,E144:K144)</f>
        <v xml:space="preserve">                                &lt;tr&gt;</v>
      </c>
      <c r="D144">
        <v>8</v>
      </c>
      <c r="E144" s="2" t="s">
        <v>43</v>
      </c>
      <c r="F144" s="2"/>
      <c r="G144" s="2"/>
      <c r="H144" s="2"/>
      <c r="I144" s="2"/>
      <c r="J144" s="2"/>
      <c r="K144" s="2"/>
    </row>
    <row r="145" spans="1:11" x14ac:dyDescent="0.25">
      <c r="C145" s="4" t="str" cm="1">
        <f t="array" ref="C145">BuildLine(D145,E145:K145)</f>
        <v xml:space="preserve">                                    &lt;td class="title-artist"&gt;</v>
      </c>
      <c r="D145">
        <v>9</v>
      </c>
      <c r="E145" s="2" t="s">
        <v>124</v>
      </c>
      <c r="F145" s="2"/>
      <c r="G145" s="2"/>
      <c r="H145" s="2"/>
      <c r="I145" s="2"/>
      <c r="J145" s="2"/>
      <c r="K145" s="2"/>
    </row>
    <row r="146" spans="1:11" x14ac:dyDescent="0.25">
      <c r="C146" s="4" t="str" cm="1">
        <f t="array" ref="C146">BuildLine(D146,E146:K146)</f>
        <v xml:space="preserve">                                        &lt;span class="title"&gt;Vacant Lunar Transit Zine 00&lt;/span&gt;</v>
      </c>
      <c r="D146">
        <v>10</v>
      </c>
      <c r="E146" s="2" t="s">
        <v>121</v>
      </c>
      <c r="F146" s="5" t="str">
        <f>B138</f>
        <v>Vacant Lunar Transit Zine 00</v>
      </c>
      <c r="G146" s="2" t="s">
        <v>58</v>
      </c>
      <c r="H146" s="2"/>
      <c r="I146" s="2"/>
      <c r="J146" s="2"/>
      <c r="K146" s="2"/>
    </row>
    <row r="147" spans="1:11" x14ac:dyDescent="0.25">
      <c r="C147" s="4" t="str" cm="1">
        <f t="array" ref="C147">BuildLine(D147,E147:K147)</f>
        <v xml:space="preserve">                                        &lt;br /&gt;</v>
      </c>
      <c r="D147">
        <v>10</v>
      </c>
      <c r="E147" s="2" t="s">
        <v>45</v>
      </c>
      <c r="F147" s="2"/>
      <c r="G147" s="2"/>
      <c r="H147" s="2"/>
      <c r="I147" s="2"/>
      <c r="J147" s="2"/>
      <c r="K147" s="2"/>
    </row>
    <row r="148" spans="1:11" x14ac:dyDescent="0.25">
      <c r="C148" s="4" t="str" cm="1">
        <f t="array" ref="C148">BuildLine(D148,E148:K148)</f>
        <v xml:space="preserve">                                        &lt;span class="artist"&gt;Vacant Lunar Transit&lt;/span&gt;</v>
      </c>
      <c r="D148">
        <v>10</v>
      </c>
      <c r="E148" s="2" t="s">
        <v>59</v>
      </c>
      <c r="F148" s="5" t="str">
        <f>B139</f>
        <v>Vacant Lunar Transit</v>
      </c>
      <c r="G148" s="2" t="s">
        <v>58</v>
      </c>
      <c r="H148" s="2"/>
      <c r="I148" s="2"/>
      <c r="J148" s="2"/>
      <c r="K148" s="2"/>
    </row>
    <row r="149" spans="1:11" x14ac:dyDescent="0.25">
      <c r="C149" s="4" t="str" cm="1">
        <f t="array" ref="C149">BuildLine(D149,E149:K149)</f>
        <v xml:space="preserve">                                    &lt;/td&gt;</v>
      </c>
      <c r="D149">
        <v>9</v>
      </c>
      <c r="E149" s="2" t="s">
        <v>46</v>
      </c>
      <c r="F149" s="2"/>
      <c r="G149" s="2"/>
      <c r="H149" s="2"/>
      <c r="I149" s="2"/>
      <c r="J149" s="2"/>
      <c r="K149" s="2"/>
    </row>
    <row r="150" spans="1:11" x14ac:dyDescent="0.25">
      <c r="C150" s="4" t="str" cm="1">
        <f t="array" ref="C150">BuildLine(D150,E150:K150)</f>
        <v xml:space="preserve">                                    &lt;td class="IA-BC"&gt;</v>
      </c>
      <c r="D150">
        <v>9</v>
      </c>
      <c r="E150" s="2" t="s">
        <v>123</v>
      </c>
      <c r="F150" s="2"/>
      <c r="G150" s="2"/>
      <c r="H150" s="2"/>
      <c r="I150" s="2"/>
      <c r="J150" s="2"/>
      <c r="K150" s="2"/>
    </row>
    <row r="151" spans="1:11" x14ac:dyDescent="0.25">
      <c r="C151" s="4" t="str" cm="1">
        <f t="array" ref="C151">BuildLine(D151,E151:K151)</f>
        <v xml:space="preserve">                                        &lt;a href="https://archive.org/details/AAE0001"&gt;&lt;img src="ico/IA.png" alt= "Vacant Lunar Transit Zine 00: Internet Archive" /&gt;&lt;/a&gt;</v>
      </c>
      <c r="D151">
        <v>10</v>
      </c>
      <c r="E151" s="2" t="s">
        <v>62</v>
      </c>
      <c r="F151" s="5" t="str">
        <f>B141</f>
        <v>https://archive.org/details/AAE0001</v>
      </c>
      <c r="G151" s="2" t="s">
        <v>64</v>
      </c>
      <c r="H151" s="5" t="str">
        <f>B138</f>
        <v>Vacant Lunar Transit Zine 00</v>
      </c>
      <c r="I151" s="2" t="s">
        <v>65</v>
      </c>
      <c r="J151" s="2"/>
      <c r="K151" s="2"/>
    </row>
    <row r="152" spans="1:11" x14ac:dyDescent="0.25">
      <c r="C152" s="4" t="str" cm="1">
        <f t="array" ref="C152">BuildLine(D152,E152:K152)</f>
        <v xml:space="preserve">                                        &lt;a href="https://altairaudioengineering.bandcamp.com/album/vacant-lunar-transit-zine-00"&gt;&lt;img src="ico/BC.png" alt="Vacant Lunar Transit Zine 00: bandcamp" /&gt;&lt;/a&gt;</v>
      </c>
      <c r="D152">
        <v>10</v>
      </c>
      <c r="E152" s="2" t="s">
        <v>62</v>
      </c>
      <c r="F152" s="5" t="str">
        <f>B142</f>
        <v>https://altairaudioengineering.bandcamp.com/album/vacant-lunar-transit-zine-00</v>
      </c>
      <c r="G152" s="2" t="s">
        <v>67</v>
      </c>
      <c r="H152" s="5" t="str">
        <f>B138</f>
        <v>Vacant Lunar Transit Zine 00</v>
      </c>
      <c r="I152" s="2" t="s">
        <v>68</v>
      </c>
      <c r="J152" s="2"/>
      <c r="K152" s="2"/>
    </row>
    <row r="153" spans="1:11" x14ac:dyDescent="0.25">
      <c r="C153" s="4" t="str" cm="1">
        <f t="array" ref="C153">BuildLine(D153,E153:K153)</f>
        <v xml:space="preserve">                                    &lt;/td&gt;</v>
      </c>
      <c r="D153">
        <v>9</v>
      </c>
      <c r="E153" s="2" t="s">
        <v>46</v>
      </c>
      <c r="F153" s="2"/>
      <c r="G153" s="2"/>
      <c r="H153" s="2"/>
      <c r="I153" s="2"/>
      <c r="J153" s="2"/>
      <c r="K153" s="2"/>
    </row>
    <row r="154" spans="1:11" x14ac:dyDescent="0.25">
      <c r="C154" s="4" t="str" cm="1">
        <f t="array" ref="C154">BuildLine(D154,E154:K154)</f>
        <v xml:space="preserve">                                &lt;/tr&gt;</v>
      </c>
      <c r="D154">
        <v>8</v>
      </c>
      <c r="E154" s="2" t="s">
        <v>113</v>
      </c>
      <c r="F154" s="2"/>
      <c r="G154" s="2"/>
      <c r="H154" s="2"/>
      <c r="I154" s="2"/>
      <c r="J154" s="2"/>
      <c r="K154" s="2"/>
    </row>
    <row r="155" spans="1:11" x14ac:dyDescent="0.25">
      <c r="C155" s="4" t="str" cm="1">
        <f t="array" ref="C155">BuildLine(D155,E155:K155)</f>
        <v xml:space="preserve">                            &lt;/table&gt;</v>
      </c>
      <c r="D155">
        <v>7</v>
      </c>
      <c r="E155" s="2" t="s">
        <v>47</v>
      </c>
      <c r="F155" s="2"/>
      <c r="G155" s="2"/>
      <c r="H155" s="2"/>
      <c r="I155" s="2"/>
      <c r="J155" s="2"/>
      <c r="K155" s="2"/>
    </row>
    <row r="156" spans="1:11" x14ac:dyDescent="0.25">
      <c r="C156" s="4" t="str" cm="1">
        <f t="array" ref="C156">BuildLine(D156,E156:K156)</f>
        <v xml:space="preserve">                        &lt;/p&gt;</v>
      </c>
      <c r="D156">
        <v>6</v>
      </c>
      <c r="E156" s="2" t="s">
        <v>48</v>
      </c>
      <c r="F156" s="2"/>
      <c r="G156" s="2"/>
      <c r="H156" s="2"/>
      <c r="I156" s="2"/>
      <c r="J156" s="2"/>
      <c r="K156" s="2"/>
    </row>
    <row r="157" spans="1:11" ht="15.75" thickBot="1" x14ac:dyDescent="0.3">
      <c r="C157" s="4" t="str" cm="1">
        <f t="array" ref="C157">BuildLine(D157,E157:K157)</f>
        <v xml:space="preserve">                    &lt;/li&gt;</v>
      </c>
      <c r="D157">
        <v>5</v>
      </c>
      <c r="E157" s="3" t="s">
        <v>49</v>
      </c>
      <c r="F157" s="3"/>
      <c r="G157" s="3"/>
      <c r="H157" s="3"/>
      <c r="I157" s="3"/>
      <c r="J157" s="3"/>
      <c r="K157" s="3"/>
    </row>
    <row r="158" spans="1:11" x14ac:dyDescent="0.25">
      <c r="A158" s="7" t="s">
        <v>77</v>
      </c>
      <c r="B158" s="6" t="s">
        <v>44</v>
      </c>
      <c r="C158" s="4" t="str" cm="1">
        <f t="array" ref="C158">BuildLine(D158,E158:K158)</f>
        <v xml:space="preserve">                    &lt;li&gt;</v>
      </c>
      <c r="D158">
        <v>5</v>
      </c>
      <c r="E158" s="1" t="s">
        <v>39</v>
      </c>
      <c r="F158" s="1"/>
      <c r="G158" s="1"/>
      <c r="H158" s="1"/>
      <c r="I158" s="1"/>
      <c r="J158" s="1"/>
      <c r="K158" s="1"/>
    </row>
    <row r="159" spans="1:11" x14ac:dyDescent="0.25">
      <c r="A159" s="7" t="s">
        <v>78</v>
      </c>
      <c r="B159" s="6" t="s">
        <v>55</v>
      </c>
      <c r="C159" s="4" t="str" cm="1">
        <f t="array" ref="C159">BuildLine(D159,E159:K159)</f>
        <v xml:space="preserve">                        &lt;div class="art"&gt;</v>
      </c>
      <c r="D159">
        <v>6</v>
      </c>
      <c r="E159" s="2" t="s">
        <v>40</v>
      </c>
      <c r="F159" s="2"/>
      <c r="G159" s="2"/>
      <c r="H159" s="2"/>
      <c r="I159" s="2"/>
      <c r="J159" s="2"/>
      <c r="K159" s="2"/>
    </row>
    <row r="160" spans="1:11" x14ac:dyDescent="0.25">
      <c r="A160" s="7" t="s">
        <v>79</v>
      </c>
      <c r="B160" s="6" t="s">
        <v>53</v>
      </c>
      <c r="C160" s="4" t="str" cm="1">
        <f t="array" ref="C160">BuildLine(D160,E160:K160)</f>
        <v xml:space="preserve">                            &lt;img src="img/AAE0000.jpg" alt="Bed Head Lazarus - MACHINELAND" /&gt;</v>
      </c>
      <c r="D160">
        <v>7</v>
      </c>
      <c r="E160" s="2" t="s">
        <v>52</v>
      </c>
      <c r="F160" s="5" t="str">
        <f>B160</f>
        <v>AAE0000</v>
      </c>
      <c r="G160" s="2" t="s">
        <v>54</v>
      </c>
      <c r="H160" s="5" t="str">
        <f>B159</f>
        <v>Bed Head Lazarus</v>
      </c>
      <c r="I160" s="2" t="s">
        <v>56</v>
      </c>
      <c r="J160" s="5" t="str">
        <f>B158</f>
        <v>MACHINELAND</v>
      </c>
      <c r="K160" s="2" t="s">
        <v>57</v>
      </c>
    </row>
    <row r="161" spans="1:11" x14ac:dyDescent="0.25">
      <c r="A161" s="7" t="s">
        <v>80</v>
      </c>
      <c r="B161" s="9" t="s">
        <v>63</v>
      </c>
      <c r="C161" s="4" t="str" cm="1">
        <f t="array" ref="C161">BuildLine(D161,E161:K161)</f>
        <v xml:space="preserve">                        &lt;/div&gt;</v>
      </c>
      <c r="D161">
        <v>6</v>
      </c>
      <c r="E161" s="2" t="s">
        <v>41</v>
      </c>
      <c r="F161" s="2"/>
      <c r="G161" s="2"/>
      <c r="H161" s="2"/>
      <c r="I161" s="2"/>
      <c r="J161" s="2"/>
      <c r="K161" s="2"/>
    </row>
    <row r="162" spans="1:11" x14ac:dyDescent="0.25">
      <c r="A162" s="7" t="s">
        <v>81</v>
      </c>
      <c r="B162" s="9" t="s">
        <v>66</v>
      </c>
      <c r="C162" s="4" t="str" cm="1">
        <f t="array" ref="C162">BuildLine(D162,E162:K162)</f>
        <v xml:space="preserve">                        &lt;p&gt;</v>
      </c>
      <c r="D162">
        <v>6</v>
      </c>
      <c r="E162" s="2" t="s">
        <v>122</v>
      </c>
      <c r="F162" s="2"/>
      <c r="G162" s="2"/>
      <c r="H162" s="2"/>
      <c r="I162" s="2"/>
      <c r="J162" s="2"/>
      <c r="K162" s="2"/>
    </row>
    <row r="163" spans="1:11" x14ac:dyDescent="0.25">
      <c r="C163" s="4" t="str" cm="1">
        <f t="array" ref="C163">BuildLine(D163,E163:K163)</f>
        <v xml:space="preserve">                            &lt;table&gt;</v>
      </c>
      <c r="D163">
        <v>7</v>
      </c>
      <c r="E163" s="2" t="s">
        <v>42</v>
      </c>
      <c r="F163" s="2"/>
      <c r="G163" s="2"/>
      <c r="H163" s="2"/>
      <c r="I163" s="2"/>
      <c r="J163" s="2"/>
      <c r="K163" s="2"/>
    </row>
    <row r="164" spans="1:11" x14ac:dyDescent="0.25">
      <c r="C164" s="4" t="str" cm="1">
        <f t="array" ref="C164">BuildLine(D164,E164:K164)</f>
        <v xml:space="preserve">                                &lt;tr&gt;</v>
      </c>
      <c r="D164">
        <v>8</v>
      </c>
      <c r="E164" s="2" t="s">
        <v>43</v>
      </c>
      <c r="F164" s="2"/>
      <c r="G164" s="2"/>
      <c r="H164" s="2"/>
      <c r="I164" s="2"/>
      <c r="J164" s="2"/>
      <c r="K164" s="2"/>
    </row>
    <row r="165" spans="1:11" x14ac:dyDescent="0.25">
      <c r="C165" s="4" t="str" cm="1">
        <f t="array" ref="C165">BuildLine(D165,E165:K165)</f>
        <v xml:space="preserve">                                    &lt;td class="title-artist"&gt;</v>
      </c>
      <c r="D165">
        <v>9</v>
      </c>
      <c r="E165" s="2" t="s">
        <v>124</v>
      </c>
      <c r="F165" s="2"/>
      <c r="G165" s="2"/>
      <c r="H165" s="2"/>
      <c r="I165" s="2"/>
      <c r="J165" s="2"/>
      <c r="K165" s="2"/>
    </row>
    <row r="166" spans="1:11" x14ac:dyDescent="0.25">
      <c r="C166" s="4" t="str" cm="1">
        <f t="array" ref="C166">BuildLine(D166,E166:K166)</f>
        <v xml:space="preserve">                                        &lt;span class="title"&gt;MACHINELAND&lt;/span&gt;</v>
      </c>
      <c r="D166">
        <v>10</v>
      </c>
      <c r="E166" s="2" t="s">
        <v>121</v>
      </c>
      <c r="F166" s="5" t="str">
        <f>B158</f>
        <v>MACHINELAND</v>
      </c>
      <c r="G166" s="2" t="s">
        <v>58</v>
      </c>
      <c r="H166" s="2"/>
      <c r="I166" s="2"/>
      <c r="J166" s="2"/>
      <c r="K166" s="2"/>
    </row>
    <row r="167" spans="1:11" x14ac:dyDescent="0.25">
      <c r="C167" s="4" t="str" cm="1">
        <f t="array" ref="C167">BuildLine(D167,E167:K167)</f>
        <v xml:space="preserve">                                        &lt;br /&gt;</v>
      </c>
      <c r="D167">
        <v>10</v>
      </c>
      <c r="E167" s="2" t="s">
        <v>45</v>
      </c>
      <c r="F167" s="2"/>
      <c r="G167" s="2"/>
      <c r="H167" s="2"/>
      <c r="I167" s="2"/>
      <c r="J167" s="2"/>
      <c r="K167" s="2"/>
    </row>
    <row r="168" spans="1:11" x14ac:dyDescent="0.25">
      <c r="C168" s="4" t="str" cm="1">
        <f t="array" ref="C168">BuildLine(D168,E168:K168)</f>
        <v xml:space="preserve">                                        &lt;span class="artist"&gt;Bed Head Lazarus&lt;/span&gt;</v>
      </c>
      <c r="D168">
        <v>10</v>
      </c>
      <c r="E168" s="2" t="s">
        <v>59</v>
      </c>
      <c r="F168" s="5" t="str">
        <f>B159</f>
        <v>Bed Head Lazarus</v>
      </c>
      <c r="G168" s="2" t="s">
        <v>58</v>
      </c>
      <c r="H168" s="2"/>
      <c r="I168" s="2"/>
      <c r="J168" s="2"/>
      <c r="K168" s="2"/>
    </row>
    <row r="169" spans="1:11" x14ac:dyDescent="0.25">
      <c r="C169" s="4" t="str" cm="1">
        <f t="array" ref="C169">BuildLine(D169,E169:K169)</f>
        <v xml:space="preserve">                                    &lt;/td&gt;</v>
      </c>
      <c r="D169">
        <v>9</v>
      </c>
      <c r="E169" s="2" t="s">
        <v>46</v>
      </c>
      <c r="F169" s="2"/>
      <c r="G169" s="2"/>
      <c r="H169" s="2"/>
      <c r="I169" s="2"/>
      <c r="J169" s="2"/>
      <c r="K169" s="2"/>
    </row>
    <row r="170" spans="1:11" x14ac:dyDescent="0.25">
      <c r="C170" s="4" t="str" cm="1">
        <f t="array" ref="C170">BuildLine(D170,E170:K170)</f>
        <v xml:space="preserve">                                    &lt;td class="IA-BC"&gt;</v>
      </c>
      <c r="D170">
        <v>9</v>
      </c>
      <c r="E170" s="2" t="s">
        <v>123</v>
      </c>
      <c r="F170" s="2"/>
      <c r="G170" s="2"/>
      <c r="H170" s="2"/>
      <c r="I170" s="2"/>
      <c r="J170" s="2"/>
      <c r="K170" s="2"/>
    </row>
    <row r="171" spans="1:11" x14ac:dyDescent="0.25">
      <c r="C171" s="4" t="str" cm="1">
        <f t="array" ref="C171">BuildLine(D171,E171:K171)</f>
        <v xml:space="preserve">                                        &lt;a href="https://archive.org/details/AAE0000"&gt;&lt;img src="ico/IA.png" alt= "MACHINELAND: Internet Archive" /&gt;&lt;/a&gt;</v>
      </c>
      <c r="D171">
        <v>10</v>
      </c>
      <c r="E171" s="2" t="s">
        <v>62</v>
      </c>
      <c r="F171" s="5" t="str">
        <f>B161</f>
        <v>https://archive.org/details/AAE0000</v>
      </c>
      <c r="G171" s="2" t="s">
        <v>64</v>
      </c>
      <c r="H171" s="5" t="str">
        <f>B158</f>
        <v>MACHINELAND</v>
      </c>
      <c r="I171" s="2" t="s">
        <v>65</v>
      </c>
      <c r="J171" s="2"/>
      <c r="K171" s="2"/>
    </row>
    <row r="172" spans="1:11" x14ac:dyDescent="0.25">
      <c r="C172" s="4" t="str" cm="1">
        <f t="array" ref="C172">BuildLine(D172,E172:K172)</f>
        <v xml:space="preserve">                                        &lt;a href="https://altairaudioengineering.bandcamp.com/album/machineland"&gt;&lt;img src="ico/BC.png" alt="MACHINELAND: bandcamp" /&gt;&lt;/a&gt;</v>
      </c>
      <c r="D172">
        <v>10</v>
      </c>
      <c r="E172" s="2" t="s">
        <v>62</v>
      </c>
      <c r="F172" s="5" t="str">
        <f>B162</f>
        <v>https://altairaudioengineering.bandcamp.com/album/machineland</v>
      </c>
      <c r="G172" s="2" t="s">
        <v>67</v>
      </c>
      <c r="H172" s="5" t="str">
        <f>B158</f>
        <v>MACHINELAND</v>
      </c>
      <c r="I172" s="2" t="s">
        <v>68</v>
      </c>
      <c r="J172" s="2"/>
      <c r="K172" s="2"/>
    </row>
    <row r="173" spans="1:11" x14ac:dyDescent="0.25">
      <c r="C173" s="4" t="str" cm="1">
        <f t="array" ref="C173">BuildLine(D173,E173:K173)</f>
        <v xml:space="preserve">                                    &lt;/td&gt;</v>
      </c>
      <c r="D173">
        <v>9</v>
      </c>
      <c r="E173" s="2" t="s">
        <v>46</v>
      </c>
      <c r="F173" s="2"/>
      <c r="G173" s="2"/>
      <c r="H173" s="2"/>
      <c r="I173" s="2"/>
      <c r="J173" s="2"/>
      <c r="K173" s="2"/>
    </row>
    <row r="174" spans="1:11" x14ac:dyDescent="0.25">
      <c r="C174" s="4" t="str" cm="1">
        <f t="array" ref="C174">BuildLine(D174,E174:K174)</f>
        <v xml:space="preserve">                                &lt;/tr&gt;</v>
      </c>
      <c r="D174">
        <v>8</v>
      </c>
      <c r="E174" s="2" t="s">
        <v>113</v>
      </c>
      <c r="F174" s="2"/>
      <c r="G174" s="2"/>
      <c r="H174" s="2"/>
      <c r="I174" s="2"/>
      <c r="J174" s="2"/>
      <c r="K174" s="2"/>
    </row>
    <row r="175" spans="1:11" x14ac:dyDescent="0.25">
      <c r="C175" s="4" t="str" cm="1">
        <f t="array" ref="C175">BuildLine(D175,E175:K175)</f>
        <v xml:space="preserve">                            &lt;/table&gt;</v>
      </c>
      <c r="D175">
        <v>7</v>
      </c>
      <c r="E175" s="2" t="s">
        <v>47</v>
      </c>
      <c r="F175" s="2"/>
      <c r="G175" s="2"/>
      <c r="H175" s="2"/>
      <c r="I175" s="2"/>
      <c r="J175" s="2"/>
      <c r="K175" s="2"/>
    </row>
    <row r="176" spans="1:11" x14ac:dyDescent="0.25">
      <c r="C176" s="4" t="str" cm="1">
        <f t="array" ref="C176">BuildLine(D176,E176:K176)</f>
        <v xml:space="preserve">                        &lt;/p&gt;</v>
      </c>
      <c r="D176">
        <v>6</v>
      </c>
      <c r="E176" s="2" t="s">
        <v>48</v>
      </c>
      <c r="F176" s="2"/>
      <c r="G176" s="2"/>
      <c r="H176" s="2"/>
      <c r="I176" s="2"/>
      <c r="J176" s="2"/>
      <c r="K176" s="2"/>
    </row>
    <row r="177" spans="3:11" ht="15.75" thickBot="1" x14ac:dyDescent="0.3">
      <c r="C177" s="4" t="str" cm="1">
        <f t="array" ref="C177">BuildLine(D177,E177:K177)</f>
        <v xml:space="preserve">                    &lt;/li&gt;</v>
      </c>
      <c r="D177">
        <v>5</v>
      </c>
      <c r="E177" s="3" t="s">
        <v>49</v>
      </c>
      <c r="F177" s="3"/>
      <c r="G177" s="3"/>
      <c r="H177" s="3"/>
      <c r="I177" s="3"/>
      <c r="J177" s="3"/>
      <c r="K177" s="3"/>
    </row>
    <row r="178" spans="3:11" x14ac:dyDescent="0.25">
      <c r="C178" s="4" t="str" cm="1">
        <f t="array" ref="C178">BuildLine(D178,E178:K178)</f>
        <v xml:space="preserve">                &lt;/ol&gt;</v>
      </c>
      <c r="D178">
        <v>4</v>
      </c>
      <c r="E178" s="2" t="s">
        <v>50</v>
      </c>
    </row>
    <row r="179" spans="3:11" x14ac:dyDescent="0.25">
      <c r="C179" s="4" t="str" cm="1">
        <f t="array" ref="C179">BuildLine(D179,E179:K179)</f>
        <v xml:space="preserve">            &lt;/div&gt;</v>
      </c>
      <c r="D179">
        <v>3</v>
      </c>
      <c r="E179" s="11" t="s">
        <v>41</v>
      </c>
    </row>
    <row r="180" spans="3:11" x14ac:dyDescent="0.25">
      <c r="C180" s="4" t="str" cm="1">
        <f t="array" ref="C180">BuildLine(D180,E180:K180)</f>
        <v xml:space="preserve">        &lt;/div&gt;</v>
      </c>
      <c r="D180">
        <v>2</v>
      </c>
      <c r="E180" s="11" t="s">
        <v>41</v>
      </c>
    </row>
    <row r="181" spans="3:11" x14ac:dyDescent="0.25">
      <c r="C181" s="4" t="str" cm="1">
        <f t="array" ref="C181">BuildLine(D181,E181:K181)</f>
        <v xml:space="preserve">    &lt;/body&gt;</v>
      </c>
      <c r="D181">
        <v>1</v>
      </c>
      <c r="E181" t="s">
        <v>51</v>
      </c>
    </row>
    <row r="182" spans="3:11" x14ac:dyDescent="0.25">
      <c r="C182" s="4" t="str" cm="1">
        <f t="array" ref="C182">BuildLine(D182,E182:K182)</f>
        <v>&lt;/html&gt;</v>
      </c>
      <c r="D182">
        <v>0</v>
      </c>
      <c r="E182" t="s">
        <v>1</v>
      </c>
    </row>
  </sheetData>
  <mergeCells count="1">
    <mergeCell ref="E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Skoddie Kraemer</cp:lastModifiedBy>
  <dcterms:created xsi:type="dcterms:W3CDTF">2022-04-17T22:33:50Z</dcterms:created>
  <dcterms:modified xsi:type="dcterms:W3CDTF">2022-04-18T02:53:10Z</dcterms:modified>
</cp:coreProperties>
</file>